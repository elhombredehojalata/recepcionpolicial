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sers\FN\Desktop\"/>
    </mc:Choice>
  </mc:AlternateContent>
  <xr:revisionPtr revIDLastSave="0" documentId="8_{155B9580-8C1C-4C47-AE3C-61FB75367E77}" xr6:coauthVersionLast="47" xr6:coauthVersionMax="47" xr10:uidLastSave="{00000000-0000-0000-0000-000000000000}"/>
  <bookViews>
    <workbookView xWindow="4200" yWindow="4185" windowWidth="21600" windowHeight="11295" xr2:uid="{00000000-000D-0000-FFFF-FFFF00000000}"/>
  </bookViews>
  <sheets>
    <sheet name=" Turno_Fiscal_09_-_15_Febrero_2" sheetId="1" r:id="rId1"/>
    <sheet name="Turno_Fiscal_29_-_04_Enero_26" sheetId="2" r:id="rId2"/>
    <sheet name="Turno_Fiscal_08_-_14_Diciembre_" sheetId="3" r:id="rId3"/>
    <sheet name="Turno_17_al_24_Noviembre_2025" sheetId="4" r:id="rId4"/>
    <sheet name="Turno_Fiscal_27_Oct_-_03_Nov_25" sheetId="5" r:id="rId5"/>
    <sheet name="Turno_Fiscal_06_-_13_Octubre_25" sheetId="6" r:id="rId6"/>
    <sheet name="Gráfico1 Tendencia Diaria de De" sheetId="7" r:id="rId7"/>
  </sheets>
  <definedNames>
    <definedName name="_xlnm._FilterDatabase" localSheetId="0" hidden="1">' Turno_Fiscal_09_-_15_Febrero_2'!$A$1:$P$71</definedName>
    <definedName name="_xlnm._FilterDatabase" localSheetId="5" hidden="1">'Turno_Fiscal_06_-_13_Octubre_25'!$A$1:$I$41</definedName>
    <definedName name="_xlnm._FilterDatabase" localSheetId="4" hidden="1">'Turno_Fiscal_27_Oct_-_03_Nov_25'!$A$1:$I$42</definedName>
    <definedName name="_xlnm._FilterDatabase" localSheetId="1" hidden="1">'Turno_Fiscal_29_-_04_Enero_26'!$A$1:$P$57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6" l="1"/>
  <c r="D42" i="5"/>
  <c r="K29" i="4"/>
  <c r="K27" i="3"/>
  <c r="K57" i="2"/>
  <c r="K71" i="1"/>
</calcChain>
</file>

<file path=xl/sharedStrings.xml><?xml version="1.0" encoding="utf-8"?>
<sst xmlns="http://schemas.openxmlformats.org/spreadsheetml/2006/main" count="1254" uniqueCount="695">
  <si>
    <t>Fiscal Responsable</t>
  </si>
  <si>
    <t>Fecha de Detención</t>
  </si>
  <si>
    <t>Hora de Detención (AM-PM)</t>
  </si>
  <si>
    <t>Lugar del hecho</t>
  </si>
  <si>
    <t>Comisaría reportante</t>
  </si>
  <si>
    <t>PNP reportante</t>
  </si>
  <si>
    <t>DNI PNP</t>
  </si>
  <si>
    <t>Nombre de Detenido</t>
  </si>
  <si>
    <t>DNI detenido</t>
  </si>
  <si>
    <t>Edad</t>
  </si>
  <si>
    <t># Personas Detenidas</t>
  </si>
  <si>
    <t>Delito</t>
  </si>
  <si>
    <t>Acción Fiscal</t>
  </si>
  <si>
    <t>Modo de Término</t>
  </si>
  <si>
    <t>Fecha de Culminación</t>
  </si>
  <si>
    <t>Número de Casos</t>
  </si>
  <si>
    <t>María Angélica Lazo Alburqueque</t>
  </si>
  <si>
    <t>AV.FRANCIA</t>
  </si>
  <si>
    <t>SAN MARTIN</t>
  </si>
  <si>
    <t xml:space="preserve">CORDOVA </t>
  </si>
  <si>
    <t>RAUL BURGOS DOMINGUEZ LLONTON</t>
  </si>
  <si>
    <t>/02836275</t>
  </si>
  <si>
    <t>CONDUCCION EN ESTADO DE EBRIEDAD</t>
  </si>
  <si>
    <t>AV. PROGRESO</t>
  </si>
  <si>
    <t>ESCUADRON EMERGENCIA</t>
  </si>
  <si>
    <t>ALBORNOZ PORRAS ANGEL MIGUEL</t>
  </si>
  <si>
    <t>CRISTIAN JONATHAN CRISANTO MARQUEZ</t>
  </si>
  <si>
    <t>FABRICACION USO PORTE DE ARMA</t>
  </si>
  <si>
    <t>COLEGIO CATEDRAL</t>
  </si>
  <si>
    <t>ALGARROBOS</t>
  </si>
  <si>
    <t>DIEGO MARTIN ORIHELA</t>
  </si>
  <si>
    <t>ABDUEL KENAAD Y SERNAQUE CHEVEZ</t>
  </si>
  <si>
    <t>21.50/</t>
  </si>
  <si>
    <t>AV. TACNA CASTILLA</t>
  </si>
  <si>
    <t>CASTILLA</t>
  </si>
  <si>
    <t>CHUNGA</t>
  </si>
  <si>
    <t>VASQUEZ MAZA CONSUELO DEL SOCORRO</t>
  </si>
  <si>
    <t>22.10/</t>
  </si>
  <si>
    <t xml:space="preserve">AV.INDEPENDENCIA </t>
  </si>
  <si>
    <t>JOSUE ANTONIO UBILLUS CASTILLO</t>
  </si>
  <si>
    <t>11.30/</t>
  </si>
  <si>
    <t>EL INDIO</t>
  </si>
  <si>
    <t>SEMINARIO JHON</t>
  </si>
  <si>
    <t>DIEGO ALONSO RAMIREZ MATORELA</t>
  </si>
  <si>
    <t>HURTO AGRAVADO</t>
  </si>
  <si>
    <t>03.30/</t>
  </si>
  <si>
    <t>LAS PRIMAVERA</t>
  </si>
  <si>
    <t>TACALA</t>
  </si>
  <si>
    <t>AROYO</t>
  </si>
  <si>
    <t>JONATHAM ALAYO SAPO SEMINARIO</t>
  </si>
  <si>
    <t>DESOBEDIENCIA</t>
  </si>
  <si>
    <t>07.20/</t>
  </si>
  <si>
    <t>PENAL</t>
  </si>
  <si>
    <t>INPE</t>
  </si>
  <si>
    <t>LUIS ALBERTO ENRIQUE</t>
  </si>
  <si>
    <t>MARQUEZ LOPEZ JUAN</t>
  </si>
  <si>
    <t>LESIONES</t>
  </si>
  <si>
    <t>10.40/</t>
  </si>
  <si>
    <t>CALLE LIBERTAD</t>
  </si>
  <si>
    <t>COMISARIA PIURA</t>
  </si>
  <si>
    <t>VICTOR CRUZ A</t>
  </si>
  <si>
    <t>JOSE EDUARDO BENITES SALDAÑA</t>
  </si>
  <si>
    <t>AV.IRAJOLA</t>
  </si>
  <si>
    <t>MANUEL HUARI ROJAS</t>
  </si>
  <si>
    <t>JUAN ALBERTO VENEGAS HUANCAZ</t>
  </si>
  <si>
    <t>/02898378</t>
  </si>
  <si>
    <t>20.00/</t>
  </si>
  <si>
    <t>BOLOGNESI</t>
  </si>
  <si>
    <t>BERRUTA VALLADOLID JAIME</t>
  </si>
  <si>
    <t>00.00/</t>
  </si>
  <si>
    <t>FRANKIN JUAREZ</t>
  </si>
  <si>
    <t>URBINA CRESPO</t>
  </si>
  <si>
    <t>05.10/</t>
  </si>
  <si>
    <t>26 DE OCTUBRE</t>
  </si>
  <si>
    <t>ESCUADRON VERDE</t>
  </si>
  <si>
    <t>CHINCHAY RODRIGUEZ</t>
  </si>
  <si>
    <t xml:space="preserve">JHON HAROLD MARQUEZ VALDIVIEZO </t>
  </si>
  <si>
    <t>MERCADO</t>
  </si>
  <si>
    <t>PIURA</t>
  </si>
  <si>
    <t>JURADO S</t>
  </si>
  <si>
    <t>JOSE MANUEL MARTINEZ YARLEQUE</t>
  </si>
  <si>
    <t>RECEPCION</t>
  </si>
  <si>
    <t>01.20/</t>
  </si>
  <si>
    <t>ZONA INDUSTRIAL</t>
  </si>
  <si>
    <t>VALDEMAR</t>
  </si>
  <si>
    <t>EVELIN ONAMA VRAAVO MENDOZA</t>
  </si>
  <si>
    <t>21.30/</t>
  </si>
  <si>
    <t>AV.GUARDIA CIVIL</t>
  </si>
  <si>
    <t>QUIROZ CARHUATOCTO CESAR</t>
  </si>
  <si>
    <t>FLORES CORDOVA ADOLFO</t>
  </si>
  <si>
    <t>/03121827</t>
  </si>
  <si>
    <t>CARRETERA</t>
  </si>
  <si>
    <t>JUAN JOSE VICHEZ</t>
  </si>
  <si>
    <t>JOSE JEAN PERREZ MORA</t>
  </si>
  <si>
    <t>/00.50/</t>
  </si>
  <si>
    <t xml:space="preserve">OVALO </t>
  </si>
  <si>
    <t>ÑIQUE RIOS MARCO ALEX</t>
  </si>
  <si>
    <t>/03.30/</t>
  </si>
  <si>
    <t>AV. GUARDIA CIVIL</t>
  </si>
  <si>
    <t>GARRY CRUZ CORDOVA</t>
  </si>
  <si>
    <t>TURKIA</t>
  </si>
  <si>
    <t>NAMUCHE VALVERDE</t>
  </si>
  <si>
    <t>SAMUEL ENRIQUE BARRETO RAMIREZ</t>
  </si>
  <si>
    <t>COD 26945103</t>
  </si>
  <si>
    <t>AH. LAS BRASAS</t>
  </si>
  <si>
    <t>LONSOY CUPICHE CLAR</t>
  </si>
  <si>
    <t>CASTRO PORTOCARRERO JOSE</t>
  </si>
  <si>
    <t>LABAN</t>
  </si>
  <si>
    <t>JONATAN ALDAR VILCHEZ  LALUPU</t>
  </si>
  <si>
    <t>17.00/</t>
  </si>
  <si>
    <t>BRYAN CHIROQUE</t>
  </si>
  <si>
    <t>JEAMPIER ALONSO ALZAMORA</t>
  </si>
  <si>
    <t>21.10/</t>
  </si>
  <si>
    <t>JOHAN ALVERT AGUILAR DOMINGUEZ</t>
  </si>
  <si>
    <t>AV. CESAR VALLEJO</t>
  </si>
  <si>
    <t>EN EMERGENCIA</t>
  </si>
  <si>
    <t>CHUQUIHUANCA PRADO DIEGO</t>
  </si>
  <si>
    <t>CARCAMO CULQUICONDOR NIXON</t>
  </si>
  <si>
    <t>CAPUÑAY GONZALES ANDRES</t>
  </si>
  <si>
    <t>/00.40</t>
  </si>
  <si>
    <t>YETSON ALVERTO CASTILLO BERRU</t>
  </si>
  <si>
    <t>KAREN YESSENIA GUERRERO PEÑA</t>
  </si>
  <si>
    <t>13.00/</t>
  </si>
  <si>
    <t>LA PRIMAVERA</t>
  </si>
  <si>
    <t>ALBAD CORTEZ JORGE</t>
  </si>
  <si>
    <t>NEYRA HUAMA ALEXANDER ALDEMAR</t>
  </si>
  <si>
    <t>LESIONES CULPOSAS</t>
  </si>
  <si>
    <t>MONTALVAN CARAMANTON CRISTIAN IVAN</t>
  </si>
  <si>
    <t xml:space="preserve">INT. SAN JOSE </t>
  </si>
  <si>
    <t>WILBER JULCA BACA</t>
  </si>
  <si>
    <t>ELVIS COBEÑAS MOROCHO</t>
  </si>
  <si>
    <t>AV.SANCHEZ CERRO</t>
  </si>
  <si>
    <t>HEBER ALEXANDER NUÑEZ ROMARACHIN</t>
  </si>
  <si>
    <t>MATIAS ANCAJIMA EDXISON RODRIGO</t>
  </si>
  <si>
    <t>LESIONES CULPOSA/HOMICIDIO CULPOSO</t>
  </si>
  <si>
    <t>CALLE TUMBES</t>
  </si>
  <si>
    <t>JANS RAMIREZ SALVA</t>
  </si>
  <si>
    <t>ROMARIO CESAR MARQUEZ PRIETO</t>
  </si>
  <si>
    <t>HURTO</t>
  </si>
  <si>
    <t>00.10/</t>
  </si>
  <si>
    <t xml:space="preserve">DUBERD PALACIOS MARQUES </t>
  </si>
  <si>
    <t>13.40/</t>
  </si>
  <si>
    <t>AV LOS ALGARROBOS</t>
  </si>
  <si>
    <t>MORALES</t>
  </si>
  <si>
    <t>ANGELO ALVARADO RAMOS</t>
  </si>
  <si>
    <t>PASAPORTE
187195831</t>
  </si>
  <si>
    <t>HURTO AGRAVADO Y TIA</t>
  </si>
  <si>
    <t>08.20/</t>
  </si>
  <si>
    <t>NUÑEZ</t>
  </si>
  <si>
    <t>ERICK DAVID TORRES LESCANO</t>
  </si>
  <si>
    <t>10.50/</t>
  </si>
  <si>
    <t>SANCHEZ</t>
  </si>
  <si>
    <t>JESSICA DE LOS MILAGROS TAVARA SARANGO</t>
  </si>
  <si>
    <t>/03678932</t>
  </si>
  <si>
    <t>UT</t>
  </si>
  <si>
    <t>NAVARRO</t>
  </si>
  <si>
    <t>GILMER NOE FLORES CALLE</t>
  </si>
  <si>
    <t>ALEXANDER BOCAN</t>
  </si>
  <si>
    <t>JOSE MERCEDES OGONA CAMPOVERDE</t>
  </si>
  <si>
    <t>LOS PARQUES DEL CHIPE</t>
  </si>
  <si>
    <t>ALFREDO CASTRO ESPERANZA</t>
  </si>
  <si>
    <t>MENDOZA PEÑARANDA JOSUE</t>
  </si>
  <si>
    <t>/009496890</t>
  </si>
  <si>
    <t>DAÑOS</t>
  </si>
  <si>
    <t>JHON</t>
  </si>
  <si>
    <t xml:space="preserve">TUPAC AMARU </t>
  </si>
  <si>
    <t>SANPARTEGO GALVEZ YAMUNAQUE TOTO REY</t>
  </si>
  <si>
    <t>BRAYAN DAVID VALENCIA MONTERO</t>
  </si>
  <si>
    <t>ROBO AGRAVADO</t>
  </si>
  <si>
    <t>17.20/</t>
  </si>
  <si>
    <t>AV.JOSE AGUILAR</t>
  </si>
  <si>
    <t>LOS ALGARROBOS</t>
  </si>
  <si>
    <t>CARRERA RETO RICARDO</t>
  </si>
  <si>
    <t>FELIX GUILLERMO PORTOCARRERO CALLE</t>
  </si>
  <si>
    <t>01.30/</t>
  </si>
  <si>
    <t>FCO</t>
  </si>
  <si>
    <t>DENOLSON CUMPEN SANCHEZ</t>
  </si>
  <si>
    <t>FERNANDO HERRERA MANOLA</t>
  </si>
  <si>
    <t>/00250186</t>
  </si>
  <si>
    <t>12/002/2026</t>
  </si>
  <si>
    <t>00.20/</t>
  </si>
  <si>
    <t>LOS EJIDOS</t>
  </si>
  <si>
    <t>JUAN FRANCO RIVERA</t>
  </si>
  <si>
    <t>LUIS GERARDO FLORES REYES</t>
  </si>
  <si>
    <t>/02635054</t>
  </si>
  <si>
    <t>DENIS GABRIEL DELGADO SOSA</t>
  </si>
  <si>
    <t>18.03/</t>
  </si>
  <si>
    <t>QUIROZ</t>
  </si>
  <si>
    <t>SEGUNDO ACARO CORDOVA</t>
  </si>
  <si>
    <t>ANTHONY ROJAS  TORRES</t>
  </si>
  <si>
    <t>AV. TACNA</t>
  </si>
  <si>
    <t>RODRIGUEZ</t>
  </si>
  <si>
    <t>RONALDO RAMIREZ SULLON</t>
  </si>
  <si>
    <t>AV.CASUARINA</t>
  </si>
  <si>
    <t>SANCHEZ ZAPATA SUSANA</t>
  </si>
  <si>
    <t>LOZARA TIMANA LENIN</t>
  </si>
  <si>
    <t>JEAN POL SALVERA</t>
  </si>
  <si>
    <t>FACUNDO TOCTO DARWIN</t>
  </si>
  <si>
    <t>CALLE CALLAO JORGE CHAVEZ</t>
  </si>
  <si>
    <t>NAVARRO LESCANO LAMBER</t>
  </si>
  <si>
    <t>JORDIN ALEANDER A. VILLEGAS</t>
  </si>
  <si>
    <t>LOS ALMENDROS</t>
  </si>
  <si>
    <t>MACHARE YOVERA JEAN CARLOS</t>
  </si>
  <si>
    <t>LIZANA LABAN OMAR</t>
  </si>
  <si>
    <t>CARRETERA CATACAOS</t>
  </si>
  <si>
    <t>CATACAOS</t>
  </si>
  <si>
    <t>CRISTIAN GERARDO FERNANDEZ</t>
  </si>
  <si>
    <t>/04.40/</t>
  </si>
  <si>
    <t>TERMINAL TERRESTRE</t>
  </si>
  <si>
    <t>PANTA RUESTA DIEGO</t>
  </si>
  <si>
    <t>MAYRA CAMIZAN Q</t>
  </si>
  <si>
    <t>VICTOR HUGO MECHA MORA</t>
  </si>
  <si>
    <t>MARIANELA WONG CARDOZA</t>
  </si>
  <si>
    <t>22.30/</t>
  </si>
  <si>
    <t>CHULUCANAS</t>
  </si>
  <si>
    <t>BORIS JUNIOR MARQUES SOTO SAAVEDRA</t>
  </si>
  <si>
    <t>LOS POLVORINES</t>
  </si>
  <si>
    <t>DIVINCRI</t>
  </si>
  <si>
    <t>MONTAÑA JARAMILLO</t>
  </si>
  <si>
    <t>JAIME JOEL MOROCHO SIANCAS</t>
  </si>
  <si>
    <t>TIA</t>
  </si>
  <si>
    <t>ESTACION CASTILLA</t>
  </si>
  <si>
    <t>ELVIS QUIROS TORRES</t>
  </si>
  <si>
    <t>EMILIO VELASQUEZ GUERRERO</t>
  </si>
  <si>
    <t>17.40/</t>
  </si>
  <si>
    <t>VIA PAITA</t>
  </si>
  <si>
    <t>DANIEL SMIT VIERA RODRIGUEZ</t>
  </si>
  <si>
    <t>OMAR CHIPANA ORTEGA</t>
  </si>
  <si>
    <t>HOMICIDIO CULPOSO Y LESIONES CULPOSAS</t>
  </si>
  <si>
    <t>GINO JOSUE RUBIO ABAD</t>
  </si>
  <si>
    <t>carretara catacaos sec</t>
  </si>
  <si>
    <t>catacaos</t>
  </si>
  <si>
    <t xml:space="preserve">OMAR CALLE </t>
  </si>
  <si>
    <t>GERARDO JEFERSON RUIZ</t>
  </si>
  <si>
    <t>18.10/</t>
  </si>
  <si>
    <t>AV. CACERES</t>
  </si>
  <si>
    <t>SANCHEZ CARTAGA</t>
  </si>
  <si>
    <t>JOSE VARGAS RIVERA</t>
  </si>
  <si>
    <t>WILIAM DUBER PUNILLA RIVERA</t>
  </si>
  <si>
    <t>20.10/</t>
  </si>
  <si>
    <t>LA LEGUA</t>
  </si>
  <si>
    <t>RIVERA SOTO JULIO</t>
  </si>
  <si>
    <t>JOSE ALEXANDER SANTO MARRA</t>
  </si>
  <si>
    <t>15.10/</t>
  </si>
  <si>
    <t>AV. LOS COCOS</t>
  </si>
  <si>
    <t>GARCIA ANTON DIEGO</t>
  </si>
  <si>
    <t>RAMIREZ ORTIZ ALDIR FABRICIO</t>
  </si>
  <si>
    <t>23.40/</t>
  </si>
  <si>
    <t>POLVORINES</t>
  </si>
  <si>
    <t>TAZON ESTELAR</t>
  </si>
  <si>
    <t xml:space="preserve">CHERRES MACHADO </t>
  </si>
  <si>
    <t>AV. MACEDA</t>
  </si>
  <si>
    <t>ANGEL  SONTADEL</t>
  </si>
  <si>
    <t>FRAN PAUL NAVARRO TAMAYO</t>
  </si>
  <si>
    <t>AH. LA GRANJA</t>
  </si>
  <si>
    <t xml:space="preserve"> UNE </t>
  </si>
  <si>
    <t>BARRERO CORDOVA</t>
  </si>
  <si>
    <t>CHAMAERO NESTOR</t>
  </si>
  <si>
    <t>NUEVA ESPERANZA</t>
  </si>
  <si>
    <t>SAN MARTN</t>
  </si>
  <si>
    <t>ORDINOLA VIERA BAIBY</t>
  </si>
  <si>
    <t>VERONICA RIOFRIO NUNURA</t>
  </si>
  <si>
    <t>RECEPTACION AGRAVADA</t>
  </si>
  <si>
    <t>Real Plaza</t>
  </si>
  <si>
    <t>EDWIN ROLANDY YANGUA SANDOVAL</t>
  </si>
  <si>
    <t>PEZANTES ZAPATA JONATHAN STIWAR</t>
  </si>
  <si>
    <t>SERNAQUE ORDINOLA ANA CLAUDIA</t>
  </si>
  <si>
    <t>TREBOL CAT</t>
  </si>
  <si>
    <t>MARIO CRISTHIAN MALPARTIDA HUAMAN</t>
  </si>
  <si>
    <t>JUAN JOSE REYES HURTADO</t>
  </si>
  <si>
    <t>DESOBEDIENCIA  Y RESISTENCIA A LA AUTORIDAD</t>
  </si>
  <si>
    <t>PAN NOR</t>
  </si>
  <si>
    <t>HERRERA ATOCHE ERICK YORLLY</t>
  </si>
  <si>
    <t>CARLOS AUSBERTO ROJAS BARDALES</t>
  </si>
  <si>
    <t>/0358904</t>
  </si>
  <si>
    <t>MIRAFLORES</t>
  </si>
  <si>
    <t>COMISARIA CASTILLA</t>
  </si>
  <si>
    <t>RODRIGUEZ OSPINA RIVELO RANUL</t>
  </si>
  <si>
    <t>RIVERA PAUCAR CELSO</t>
  </si>
  <si>
    <t>/02608986</t>
  </si>
  <si>
    <t>CUARITE ALFARO SNAYDER</t>
  </si>
  <si>
    <t>YITZO JAVIER DOMINGUEZ ROMERO</t>
  </si>
  <si>
    <t>COMISARIA DE PIURA</t>
  </si>
  <si>
    <t>SAUCEDO ALTAMIRANO VALDEMAR</t>
  </si>
  <si>
    <t>JULIO MARTIN CULQUICONDOR VIERA</t>
  </si>
  <si>
    <t>/05640965</t>
  </si>
  <si>
    <t>LABAN HUAMAN JOSE</t>
  </si>
  <si>
    <t>PALOMINO ADRIANZEN VICTOR SEGUNDO</t>
  </si>
  <si>
    <t>UNION</t>
  </si>
  <si>
    <t>COMISARIA UNION</t>
  </si>
  <si>
    <t>TINEO QUIÑONES HARLIN RANGEL</t>
  </si>
  <si>
    <t>FRANK RICHARD BURGOS YAÑEZ</t>
  </si>
  <si>
    <t>RIO VIEJO</t>
  </si>
  <si>
    <t>COMISARIA LA ARENA</t>
  </si>
  <si>
    <t>COBEÑAS AMAYA CESAR RICARDO</t>
  </si>
  <si>
    <t>NAMUCHE SILVA MARCO ANTONIO</t>
  </si>
  <si>
    <t>TENTATIVA DE HOMICIDIO</t>
  </si>
  <si>
    <t>NAMUCHE SLVA CARLOS OMAR</t>
  </si>
  <si>
    <t>COMISARIA 26 DE OCTUBRE</t>
  </si>
  <si>
    <t>CANOVA SALDARRAGA PEDRO GONZALO</t>
  </si>
  <si>
    <t>FRANKLIN CAMACARO COLMENARES</t>
  </si>
  <si>
    <t>/02415832</t>
  </si>
  <si>
    <t>LESIONES LEVES</t>
  </si>
  <si>
    <t>COMISARIA EL INDIO</t>
  </si>
  <si>
    <t>AVELLANEDA DIAZ ERWIN JAVIER</t>
  </si>
  <si>
    <t>ADANAQUE ANCAJIMA JOHANNA SMITH</t>
  </si>
  <si>
    <t>VILCHEZ ADANAQUE WILLIAM JAMPIER</t>
  </si>
  <si>
    <t>CHIROQUE SILUPU RUTH MARGOT</t>
  </si>
  <si>
    <t>LOZADA MEDINA VIVIANA YOMIRA MERCEDES</t>
  </si>
  <si>
    <t>CRUZ NEYRA WILMER</t>
  </si>
  <si>
    <t>CORDOVA CARHUACHINCHAY HENRY RAUL</t>
  </si>
  <si>
    <t>COMISARIA CATACAOS</t>
  </si>
  <si>
    <t>CALLE QUINDE OMAR HARRY</t>
  </si>
  <si>
    <t>LOYOLA HDALGO TOMAS ALBERTO</t>
  </si>
  <si>
    <t>COMISARIA CUCUNGARA</t>
  </si>
  <si>
    <t>CUARTE ALFARO ESNAYDER FRANKLIN</t>
  </si>
  <si>
    <t>SANDOVAL CHIROQUE MANUEL JESUS</t>
  </si>
  <si>
    <t>YAIPEN UCEDA PEDRO FERNANDO</t>
  </si>
  <si>
    <t>VALLEJOS SANCHEZ LUIS ALBERTO</t>
  </si>
  <si>
    <t>VERA MAZA LUIS ALBERTO</t>
  </si>
  <si>
    <t>RIVERA CHINCHAY JOSE ALEX</t>
  </si>
  <si>
    <t>ADANAQUE ELIAS JOSE CARLOS</t>
  </si>
  <si>
    <t>RAMOS SERNAQUE BRAYAN JOEL</t>
  </si>
  <si>
    <t>YERALDINE PRISCILA POZO CORDOVA</t>
  </si>
  <si>
    <t>AV.GUARDIA PRIMAVERA</t>
  </si>
  <si>
    <t>ELVIS MELQUIADES QUIROZ TORRES</t>
  </si>
  <si>
    <t>SAAVEDRA CASTILLO JORGE LUIS</t>
  </si>
  <si>
    <t>/03877422</t>
  </si>
  <si>
    <t>HUANCAS BARRANZUELA DIEGO SEBASTIAN</t>
  </si>
  <si>
    <t>CALLE MANCORA</t>
  </si>
  <si>
    <t>VALLE GARCIA FRANK</t>
  </si>
  <si>
    <t>LUIS DAVID SILVA CUNYA</t>
  </si>
  <si>
    <t>MARIA ALEJANDRA VALLE RVERA</t>
  </si>
  <si>
    <t>CASERIO ALMIRANTE GRAU</t>
  </si>
  <si>
    <t>COMISARIA DE CUCUNGARA</t>
  </si>
  <si>
    <t>KLEYDERSON KEINER SOSA NUÑEZ</t>
  </si>
  <si>
    <t>CEDULA:
33513244</t>
  </si>
  <si>
    <t>SANCHEZ CERRO</t>
  </si>
  <si>
    <t>COMISARIA DE CASTILLA</t>
  </si>
  <si>
    <t>CASTILLO CORDOVA DENIS</t>
  </si>
  <si>
    <t>PEÑA LOPEZ MELQUIADES</t>
  </si>
  <si>
    <t>VALDEZ LOZADA ARNOLD</t>
  </si>
  <si>
    <t>CARCAMO GALLARDO MARK STEVEN</t>
  </si>
  <si>
    <t>COMISARIA DE SAN MARTIN</t>
  </si>
  <si>
    <t>PERALTA HUAMAN JOSE LEONEL</t>
  </si>
  <si>
    <t>MARIO ALEXANDER HERRRERA MONDRAGON</t>
  </si>
  <si>
    <t>ACTA DE NACIMIENTO</t>
  </si>
  <si>
    <t>LA UNION</t>
  </si>
  <si>
    <t>COMISARIA LA UNION</t>
  </si>
  <si>
    <t>CALDERON CHERRE ESWIN ROMARIO</t>
  </si>
  <si>
    <t>ROBO AGRAVADO Y LESONES GRAVES</t>
  </si>
  <si>
    <t>ANGELO OMAR CALDERON CHERRE</t>
  </si>
  <si>
    <t>COMISARIA LOS ALGARROBOS</t>
  </si>
  <si>
    <t>AURICH SILVA MARIO JHONATAN</t>
  </si>
  <si>
    <t>CORTEZ ALAMA JUNIOR JOEL</t>
  </si>
  <si>
    <t>INGA VALENCIA DARWIN JILMER</t>
  </si>
  <si>
    <t>PEREZ TORRES EDINSON PAUL</t>
  </si>
  <si>
    <t>FERNANDEZ GONZALES ELVIN HELI</t>
  </si>
  <si>
    <t>WACHENG CASTRO CARLOS ENRIQUE</t>
  </si>
  <si>
    <t>ESPINOZA TALLEDO GERALDO</t>
  </si>
  <si>
    <t>PARDO MIRANDA LUIS</t>
  </si>
  <si>
    <t>/02846839</t>
  </si>
  <si>
    <t>GUTIERREZ RODRIGUEZ HERNAN F</t>
  </si>
  <si>
    <t>/08833809</t>
  </si>
  <si>
    <t>JARAMILLO MOROCHO JORGE LUIS</t>
  </si>
  <si>
    <t>JOSE MARIA VALAREZO PACHERRE</t>
  </si>
  <si>
    <t>JR. LOS INCAS - ALGARROBOS</t>
  </si>
  <si>
    <t>NAVARRETE CALDAS ROQUE DANNY</t>
  </si>
  <si>
    <t>JERRY HANS MECA FLORES</t>
  </si>
  <si>
    <t>ABSOLON</t>
  </si>
  <si>
    <t>SORIANO ZEGARRA VICTOR AXEL EDIN</t>
  </si>
  <si>
    <t>TIMANA NIZAMA CARLOS FABIAN</t>
  </si>
  <si>
    <t>LORGIO SAAVEDRA HUACHES</t>
  </si>
  <si>
    <t>TELCIDA MERCEDES VIDAL ALDANA</t>
  </si>
  <si>
    <t>MIGUEL ANGEL CHINCHAY HUANCAS</t>
  </si>
  <si>
    <t>MOGOLLON IBAÑEZ DENIS</t>
  </si>
  <si>
    <t>JOSE ALBERTO VEGAS CHAVEZ</t>
  </si>
  <si>
    <t>POR EL GRIFO DANIEL</t>
  </si>
  <si>
    <t>AGUILAR APONTE AGULERA</t>
  </si>
  <si>
    <t>VIERA ESTRADA EDGAR EDUARDO</t>
  </si>
  <si>
    <t>CRUZ ALCEDO GABRIEL</t>
  </si>
  <si>
    <t>AMARO PEÑA SAMIR MISAEL</t>
  </si>
  <si>
    <t>CEDULA:
008717664</t>
  </si>
  <si>
    <t>LESIONES FISICAS</t>
  </si>
  <si>
    <t>UPIAT</t>
  </si>
  <si>
    <t>VICTOR RAUL NIMA SANTIAGO</t>
  </si>
  <si>
    <t>COMISARIA TACALA</t>
  </si>
  <si>
    <t>CORREA ATO GAN PIERRE</t>
  </si>
  <si>
    <t>CARRASCO CUELLO JOSE FELIZARDO</t>
  </si>
  <si>
    <t>V.R.A RESISTENCIA O DESOBEDIENCIA</t>
  </si>
  <si>
    <t>COMISARIA DE 26 DE OCTUBRE</t>
  </si>
  <si>
    <t>RVERA LLACSAHUANGA JORGE LUIS</t>
  </si>
  <si>
    <t>SILVA MONTEZA JAVIER FRANCISCO</t>
  </si>
  <si>
    <t>HURTO SIMPLE</t>
  </si>
  <si>
    <t>SOLANO TABOADA PAOLA PAULINA DEL PILAR</t>
  </si>
  <si>
    <t>MENDEZ NIMA ERICK YOEL</t>
  </si>
  <si>
    <t>CARMEN LOPEZ CARLOS JAVIER</t>
  </si>
  <si>
    <t>ALVAREZ ROSADO JUAN ANTONO</t>
  </si>
  <si>
    <t>CAVERO MACHADO EDWN YORDI</t>
  </si>
  <si>
    <t>SULLON CALLE GERARD BILL DARKIE</t>
  </si>
  <si>
    <t>COMISARIA SAN MARTIN</t>
  </si>
  <si>
    <t>QUISPE HUACHO JHOEL AUGUSTO</t>
  </si>
  <si>
    <t>CELULAR 952024902</t>
  </si>
  <si>
    <t>MARCANO BRITO JUAN JOSE</t>
  </si>
  <si>
    <t>BANCES SAUCEDO ANGELA</t>
  </si>
  <si>
    <t>CELULAR: 978193852</t>
  </si>
  <si>
    <t>GUEVARA SAAVEDRA CARLOS ALBERTO</t>
  </si>
  <si>
    <t>DIRTEPOL</t>
  </si>
  <si>
    <t>RAMOS PORTOCARRERO MANUEL LEONARDO</t>
  </si>
  <si>
    <t>CELULAR: 954717403</t>
  </si>
  <si>
    <t>AGUIRRE OLAYA JOSE RICARDO</t>
  </si>
  <si>
    <t>FORMAS AGRAVADAS -SOBRE VEHICULOS AUTOMOTORES</t>
  </si>
  <si>
    <t>ESTRADA RODRIGUEZ WILDER ANTONIO</t>
  </si>
  <si>
    <t>CELULAR: 927358603</t>
  </si>
  <si>
    <t>PALOMINO PEÑA FELIX ALBERTO</t>
  </si>
  <si>
    <t xml:space="preserve">FABRICACION COMERCIALIZACION, FORMAS AGRAVADAS </t>
  </si>
  <si>
    <t>ALVARADO ADRIANZEN DONALD EDUARDO</t>
  </si>
  <si>
    <t>CELULAR: 939126687</t>
  </si>
  <si>
    <t>BARRIONUEVO GRADOS ESTEBAN GABRIEL</t>
  </si>
  <si>
    <t>FORMAS AGRAVADAS- SOBRE EQUIPOS DE INFORMATICA</t>
  </si>
  <si>
    <t>BACA ESTRADA MARCO ANTONIO</t>
  </si>
  <si>
    <t>LAULATE CORDOVA SEGUNDO GIANCARLO</t>
  </si>
  <si>
    <t>CELULAR: 945451552</t>
  </si>
  <si>
    <t>GARCIA GARCIA CRISTHIAN</t>
  </si>
  <si>
    <t>FLORES ALBAN CESAR ANDREE</t>
  </si>
  <si>
    <t>CELULAR 967200728</t>
  </si>
  <si>
    <t>ALBINES SERNAQUE JONATHAN ABEL, SANGO CHIROQUE ISMAEL</t>
  </si>
  <si>
    <t>COMISARIA VEINTISEIS DE OCTUBRE</t>
  </si>
  <si>
    <t>VALENZUELA MORAN GEORGE KEVIN</t>
  </si>
  <si>
    <t>CELULAR: 991830019</t>
  </si>
  <si>
    <t>JUAREZ MEDINA JOSE MANUEL</t>
  </si>
  <si>
    <t>V.R.A Y LESIONES CULPOSAS</t>
  </si>
  <si>
    <t>CARRERA RETO RCARDO ROOSWELTH</t>
  </si>
  <si>
    <t>CELULAR: 998335856</t>
  </si>
  <si>
    <t>MONTENEGRO VLCHEZ ANGEL ANIBAL</t>
  </si>
  <si>
    <t>ARAUJO PINTADO JESUS ALBERTO</t>
  </si>
  <si>
    <t>CELULAR: 959861430</t>
  </si>
  <si>
    <t>DIAZ CEGARRA REIBER JESUS, CHINGA PINDAY JANPIERE ANIBAL, CHANDUVI MEZONES HILDEMARU MARBI</t>
  </si>
  <si>
    <t>MIÑAN DIOSES KEVIN CHRISTOPHER</t>
  </si>
  <si>
    <t>CELULAR: 970708443</t>
  </si>
  <si>
    <t>SANCHEZ HUERTAS JESUS GABRIEL, PRIETO MARTINEZ LUIS MARIO</t>
  </si>
  <si>
    <t>COMETE FALSEDAD SIMULANDO SUPONIENTO ALTERANDO LA VERDAD, VRA DESOBEDIENCIA Y RESISTENCIA A ORDEN OFICIAL</t>
  </si>
  <si>
    <t>GARCIA LEON ERIK DAMIAN</t>
  </si>
  <si>
    <t>CELULAR: 942795732</t>
  </si>
  <si>
    <t>PAZ COBEÑAS ELVIS</t>
  </si>
  <si>
    <t>COMISARIA DE TACALA</t>
  </si>
  <si>
    <t>RENAN NICANOR COCHACHIN CHUICA</t>
  </si>
  <si>
    <t>CELULAR:946954399</t>
  </si>
  <si>
    <t>NEIRA BERMEO NEXAR</t>
  </si>
  <si>
    <t>HUAMAN PADILLA DAVID</t>
  </si>
  <si>
    <t>COMISARIA DE VEINTISEIS DE OCTUBRE</t>
  </si>
  <si>
    <t>ZULOETA TERAN MIKJAIL FELIX</t>
  </si>
  <si>
    <t>CELULAR: 978397500</t>
  </si>
  <si>
    <t>PAZ CASTILLO MIGUEL ANYELLO</t>
  </si>
  <si>
    <t>NAMUCHE VALVERDE DIEGO ALONSO</t>
  </si>
  <si>
    <t>CELULAR: 918419370</t>
  </si>
  <si>
    <t>LLACSAHUANGA ALAMA NILDAURA</t>
  </si>
  <si>
    <t>V.R.A. RESISTENCIA O DESOBEDIENCIA A LA AUTORIDAD.</t>
  </si>
  <si>
    <t>GIRALDO ZULUAGA JUAN CAMILO; CALLE BERECHE SEGUNDO ADRIANO</t>
  </si>
  <si>
    <t>VISE CORDOVA ERICKSEN HERLESS</t>
  </si>
  <si>
    <t>CELULAR: 936383378</t>
  </si>
  <si>
    <t>SOTO JIMENEZ JORGE JAVIER</t>
  </si>
  <si>
    <t>SAMANEZ ATO JESUS DAVID</t>
  </si>
  <si>
    <t>CELULAR: 987325808</t>
  </si>
  <si>
    <t>SANDIA NIEVES JAVIER HISTURI</t>
  </si>
  <si>
    <t>CARRERA RETO RICARDO ROOSWELTH</t>
  </si>
  <si>
    <t>ZAPATA SAAVEDRA LUIS GUSTAVO, CALLE PINTADO FELIZANDRO</t>
  </si>
  <si>
    <t>CONDUCCION EN ESTADO DE EBRIEDAD Y LESIONES CULPOSAS</t>
  </si>
  <si>
    <t>GARCIA CHANTA JAIME DANILO</t>
  </si>
  <si>
    <t>CELULAR: 982147101</t>
  </si>
  <si>
    <t>CARRERO GUERRERO WILLIAM EDUARDO</t>
  </si>
  <si>
    <t>CASTIILO GARCIA HECTOR NEPTALI</t>
  </si>
  <si>
    <t>CELULAR: 946686688</t>
  </si>
  <si>
    <t>VALERA RODRIGUEZ LUIZ ALEXANDER</t>
  </si>
  <si>
    <t>LALUPU CRUZ PIERO ALEXIS</t>
  </si>
  <si>
    <t>CELULAR: 939449155</t>
  </si>
  <si>
    <t>RUIZ SANCHEZ EZEQUIEL JOEL</t>
  </si>
  <si>
    <t>VARGAS BURITICA GERSON DAVID</t>
  </si>
  <si>
    <t>PLAZA VEA</t>
  </si>
  <si>
    <t>MENDOZA DAVILA VALENTIN KELVIN</t>
  </si>
  <si>
    <t>NIMA AVILA CARLOS ALBERTO JUNIORD</t>
  </si>
  <si>
    <t>DNI 45752984</t>
  </si>
  <si>
    <t>PROGRESO</t>
  </si>
  <si>
    <t>MACHADO AYALA JUIO JARDEL</t>
  </si>
  <si>
    <t>----------</t>
  </si>
  <si>
    <t>VICTOR HUGO FEBRES MONDRAGON</t>
  </si>
  <si>
    <t>DNI 44105228</t>
  </si>
  <si>
    <t>AV.GRAU</t>
  </si>
  <si>
    <t>CORDOVA REMAYCUNA KLEIMER</t>
  </si>
  <si>
    <t>PABLITO MIGUEL LAZARO SANCHEZ</t>
  </si>
  <si>
    <t>DNI 76518646</t>
  </si>
  <si>
    <t>VILLA KURT BAR</t>
  </si>
  <si>
    <t>ENRIQUE ALEXANDER FLORES SILVA</t>
  </si>
  <si>
    <t>CRISTIAN ENRIQUE VASQUEZ BOLIVAR</t>
  </si>
  <si>
    <t>DNI 33195784</t>
  </si>
  <si>
    <t>18 DE MAYO</t>
  </si>
  <si>
    <t>DEPINCO</t>
  </si>
  <si>
    <t>WILDER ANTONIO ESTRADA RODRIGUEZ</t>
  </si>
  <si>
    <t>WUILSON JOSE EDUARDO SULLON RIVAS</t>
  </si>
  <si>
    <t>DNI 77012676</t>
  </si>
  <si>
    <t>JEAN CARLOS GUERRERO BERMEO</t>
  </si>
  <si>
    <t>EDUARDO DANIEL TINEO VIVAS</t>
  </si>
  <si>
    <t>DNI 73040442</t>
  </si>
  <si>
    <t>JOSE OVIEDO LABAN HUAMAN</t>
  </si>
  <si>
    <t>FREDY ALBERTO RAMIREZ GUERRERO</t>
  </si>
  <si>
    <t>DNI 72663067</t>
  </si>
  <si>
    <t>BRUNO JONATHAN HUERTAS FARFAN</t>
  </si>
  <si>
    <t>KENYI YAMIR CAMACHO CHAVEZ</t>
  </si>
  <si>
    <t>DNI 75971111</t>
  </si>
  <si>
    <t>AV.PROGRESO</t>
  </si>
  <si>
    <t>JULIO JARDEL MACHADO AYALA</t>
  </si>
  <si>
    <t>VICTOR ALEJANDRO MARLON ROMERO GUEVARA</t>
  </si>
  <si>
    <t>DNI 42572254</t>
  </si>
  <si>
    <t>ALMIRANTE MIGUEL GRAU</t>
  </si>
  <si>
    <t>LINARES MELENDEZ LUIS MIGUEL</t>
  </si>
  <si>
    <t>SANTOS SIMEON LOPEZ CARHUATOCTO</t>
  </si>
  <si>
    <t>DNI 02611457</t>
  </si>
  <si>
    <t>V.R.A. DESOBEDIENCIA Y RESISTENCIA A LA AUTORIDAD</t>
  </si>
  <si>
    <t>OESCHE</t>
  </si>
  <si>
    <t>RIVERA NAUCAR JOSE SERBULO</t>
  </si>
  <si>
    <t>NAYELI MILENKA MARTINEZ VELASQUEZ</t>
  </si>
  <si>
    <t>DNI 62333312</t>
  </si>
  <si>
    <t>VIA EVITAMIENTO</t>
  </si>
  <si>
    <t>MANUEL JESUS GODOS BERRU</t>
  </si>
  <si>
    <t>DNI 32543967</t>
  </si>
  <si>
    <t>MERCADO MODELO</t>
  </si>
  <si>
    <t>ARNOLD JESUS VALDEZ LOZADA</t>
  </si>
  <si>
    <t>POMPILIO JOAQUIN GOMEZ RAYMUNDO</t>
  </si>
  <si>
    <t>DNI 02792957</t>
  </si>
  <si>
    <t>AV. GRAU CASTILLA</t>
  </si>
  <si>
    <t>RIVERA PAUCAR OLMER</t>
  </si>
  <si>
    <t>MONTENEGRO MORE EDUARDO</t>
  </si>
  <si>
    <t>DNI 10446449</t>
  </si>
  <si>
    <t>YERALDINE PRISCILA POZO CORDOV</t>
  </si>
  <si>
    <t>FICUS /CIRCUNVALACION</t>
  </si>
  <si>
    <t>GARCIA REQUENA JUAN ALEJANDRO</t>
  </si>
  <si>
    <t>JOSE ERNESTO SULLON ZAPATA</t>
  </si>
  <si>
    <t>DNI 48305668</t>
  </si>
  <si>
    <t>T.I.D PROMOCION O FAVORECIMIENTO AL TRAFICO ILICITO DE DROGAS Y OTROS + ROBO SIMPLE</t>
  </si>
  <si>
    <t>GRIFO PAJARITO</t>
  </si>
  <si>
    <t>JHAN PETER VILCHEZ ABAD</t>
  </si>
  <si>
    <t>GILLERMO RAFAEL RODRIGUEZ VALLADOLID</t>
  </si>
  <si>
    <t>DNI 70880748</t>
  </si>
  <si>
    <t>V.R.A. RESISTENCIA A LA AUTORIDAD</t>
  </si>
  <si>
    <t>AV. RAMON</t>
  </si>
  <si>
    <t>RIVELO RANUL RODRIGUEZ OSPINA</t>
  </si>
  <si>
    <t>BRIAN BYRON DURAND FLORES</t>
  </si>
  <si>
    <t>DNI 71554418</t>
  </si>
  <si>
    <t>JHON ALEXIS OSORIO GIRALDO</t>
  </si>
  <si>
    <t>CEDULA 009400658</t>
  </si>
  <si>
    <t>COMISARIA DE LOS ALBARROBOS</t>
  </si>
  <si>
    <t>MARIO JONATHAN AURICH SILVA</t>
  </si>
  <si>
    <t>JULIO CESAR CURAY ESTRADA</t>
  </si>
  <si>
    <t xml:space="preserve">Los Algarrobos </t>
  </si>
  <si>
    <t xml:space="preserve">Comisaria los Algarrobos </t>
  </si>
  <si>
    <t>ELMER PEÑA ROÑA</t>
  </si>
  <si>
    <t>DNI 40553086</t>
  </si>
  <si>
    <t>VRA-RESISTENCIA O DESOBEDIENCIA A LA AUTORIDAD</t>
  </si>
  <si>
    <t>Calle Comercio La ARENA</t>
  </si>
  <si>
    <t>Comisaria La Arena</t>
  </si>
  <si>
    <t>CARLOS ELEAZER PONCE GARCIA</t>
  </si>
  <si>
    <t xml:space="preserve">JULIO SILUPU SERNAQUE
</t>
  </si>
  <si>
    <t>DNI 44146296</t>
  </si>
  <si>
    <t>CELI LUIS RAMOS PRADO</t>
  </si>
  <si>
    <t>DNI 02826959</t>
  </si>
  <si>
    <t>Calle Comercio La arena</t>
  </si>
  <si>
    <t>JAIRO ALEXANDER SOSA SERNAQUE</t>
  </si>
  <si>
    <t>DNI 73677427</t>
  </si>
  <si>
    <t>DAÑO SIMPLE</t>
  </si>
  <si>
    <t>CRISTHIAN LEOMAR SOSA SERNAQUE</t>
  </si>
  <si>
    <t>DNI 73677333</t>
  </si>
  <si>
    <t>COMISARIA LA LEGUA</t>
  </si>
  <si>
    <t>FRANCO GIANMARCO SANDOVAL MIJAHUANGA</t>
  </si>
  <si>
    <t>DEYBY MANUEL VCARGAS ALVARADO</t>
  </si>
  <si>
    <t>CEDULA 007008714</t>
  </si>
  <si>
    <t>ALI EFRAIN CARMEN CHANDUVI</t>
  </si>
  <si>
    <t>GREGORIO DIAZ LUGO</t>
  </si>
  <si>
    <t>HOSPITAL</t>
  </si>
  <si>
    <t>FRANK ANTHONY VALLE GARCIA</t>
  </si>
  <si>
    <t>SZARMACH TORRES MOGOLLON</t>
  </si>
  <si>
    <t>DNI 03697534</t>
  </si>
  <si>
    <t>NIZAMA PONCE KRISMAN FELIX</t>
  </si>
  <si>
    <t>Proceso Inmediato</t>
  </si>
  <si>
    <t>Audiencia Judicial</t>
  </si>
  <si>
    <t>VITE RUFINO CARLOS JOEL</t>
  </si>
  <si>
    <t>CONDUCCIÓN EN ESTADO DE EBRIEDAD</t>
  </si>
  <si>
    <t>Citación</t>
  </si>
  <si>
    <t>HERNANDEZ LEON LEONARDO ABRAHAM</t>
  </si>
  <si>
    <t>LUPUCHE OVIEDO JAVIER ERNESTO</t>
  </si>
  <si>
    <t>Citacón</t>
  </si>
  <si>
    <t>MOROCHO SOTO ALVARO DAVID</t>
  </si>
  <si>
    <t>AVELLANEDA VALDIVIEZO, CARLOMAGNO DAGOBERTO</t>
  </si>
  <si>
    <t>MATOS SANCHEZ DANLY</t>
  </si>
  <si>
    <t>SILVA SOSA FRANKLIN MARTIN</t>
  </si>
  <si>
    <t>FABRICACIÓN, COMERCIALIZACIÓN, USO O PORTE DE ARMAS</t>
  </si>
  <si>
    <t>Formalización</t>
  </si>
  <si>
    <t>Audiencia Judicial de Prisión Preventiva</t>
  </si>
  <si>
    <t>PUELLES REYES SANTOS BRAULIO</t>
  </si>
  <si>
    <t>audiencia judicial</t>
  </si>
  <si>
    <t>GARCIA VIERA TEDDY RODY</t>
  </si>
  <si>
    <t>MARCHAN VILLALTA ALEJANDRO / TRONCOS VASQUEZ JUAN</t>
  </si>
  <si>
    <t>SANTOS CRUZ, GILMER</t>
  </si>
  <si>
    <t>FIGUEROA RUIZ ALESSANDRO DEL PIERO</t>
  </si>
  <si>
    <t>SALAZAR VILLAMIZAR YEFERSON</t>
  </si>
  <si>
    <t>CASTILLO QUEREVALU, JOSE ENICEMIO</t>
  </si>
  <si>
    <t>DEZA CAMPOVERDE LUIS FERANDO y LUIS FERNANDO DEZA CAMPOVERDE</t>
  </si>
  <si>
    <t>MEZONES OVIEDO, MIGUEL ANGEL</t>
  </si>
  <si>
    <t>DIOSES HEREDIA GILBERTO ENRIQUE / GUILLERMO GABRIEL HERNANDEZ</t>
  </si>
  <si>
    <t>ROBO AGRAVADO Y OTRO</t>
  </si>
  <si>
    <t>NIMA NIMA JORGE LUIS</t>
  </si>
  <si>
    <t>SANZ VILLAROEL GENESIS MARINA / VASQUEZ BOLIVAR, CRISTIAN ENRIQUE</t>
  </si>
  <si>
    <t>hh</t>
  </si>
  <si>
    <t>CRISANTO SAQUIZELA VICTOR</t>
  </si>
  <si>
    <t>SILVA ZAPATA JOSE ENRIQUE</t>
  </si>
  <si>
    <t>PALACIOS RAMOS JUSTO FELIX</t>
  </si>
  <si>
    <t>GARCIA RUFINO, RANDU PAUL</t>
  </si>
  <si>
    <t>Citado</t>
  </si>
  <si>
    <t>RAMIREZ HERNANDEZ RIXSER ARNOLD</t>
  </si>
  <si>
    <t>MORAN GAONA CRISTHIAN ANTHONY</t>
  </si>
  <si>
    <t>CRIOLLO RAMOS FIORELA</t>
  </si>
  <si>
    <t>SALAZAR GAONA ANTHONY JOSEFF y CHIROQUE YESQUEN MIGUEL ANGEL</t>
  </si>
  <si>
    <t>RIMAYCUNA LLOCLLA WILBERT / JARAMILLO GUERRERO DANIEL ALCIDES</t>
  </si>
  <si>
    <t>CALLE CASTANEDA RONALD ALBERTO</t>
  </si>
  <si>
    <t>CARLOS ENRIQUE NIZAMA MIRANDA y LUIS SEBASTIAN YOVERA BAYONA</t>
  </si>
  <si>
    <t>CESA ALBERTO COVEÑAS SULLON</t>
  </si>
  <si>
    <t>CESAR AUGUSTO OJEDA MOSCOL</t>
  </si>
  <si>
    <t>MACHADO SALAZAR, HENGER / MIJAHUANGA MONTAÑO EDWIN</t>
  </si>
  <si>
    <t>ZAPATA CARREÑO JOSE LUCIANO</t>
  </si>
  <si>
    <t>HURTADO PALACIOS, MARCO ANTONIO / CORONADO FLORES NICOLAS</t>
  </si>
  <si>
    <t>GUARDADO VILLEGAS ROBERTO MIGUEL</t>
  </si>
  <si>
    <t>Audiencia Jucidial</t>
  </si>
  <si>
    <t>ZAPATA CALDERON CARLOS AUGUSTO / AQUINO YOVERA JUAN CARLOS</t>
  </si>
  <si>
    <t>RIVAS VALVERDE, JOSE DEL CARMEN</t>
  </si>
  <si>
    <t>PRADO ZAPATA SERGIO</t>
  </si>
  <si>
    <t>BARBOZA CHAVIL,LEYSON ALEXIS</t>
  </si>
  <si>
    <t>Conducción en Estado de Ebriedad</t>
  </si>
  <si>
    <t>QUISPE PIZARRO,FELIPE</t>
  </si>
  <si>
    <t>SAAVEDRA GUTIERREZ,EDINSON MARTIN</t>
  </si>
  <si>
    <t>OTOYA MEJIA,LUIS IGOR JOSUE</t>
  </si>
  <si>
    <t>IMAN GOMEZ,CRISTIAN ENRIQUE</t>
  </si>
  <si>
    <t>Disposición por hecho atípico (margen menor de alcoholemia)</t>
  </si>
  <si>
    <t>MORE YARLEQUE,ALEXANDER</t>
  </si>
  <si>
    <t> MARTINEZ GALVEZ,AARON ALONZO</t>
  </si>
  <si>
    <t>Hurto Agravado de Vehículo</t>
  </si>
  <si>
    <t>YAJAHUANCA BANCAYAN,JONATHAN DAVID</t>
  </si>
  <si>
    <t>Receptación Agravada</t>
  </si>
  <si>
    <t>PANTA CARRASCO,JUNIOR ALEXANDER</t>
  </si>
  <si>
    <t>Disposición para continuar con diligencias</t>
  </si>
  <si>
    <t>BORRERO LAZO,RICARDO FAVIO / PRECIADO PINDAY,ROSITA THALIA</t>
  </si>
  <si>
    <t>Receptación Agravada - Hurto Agravado</t>
  </si>
  <si>
    <t>RUIZ MOSCOL,FELIPE HEBERT ALBERTO</t>
  </si>
  <si>
    <t>CORNEJO CARDOZA,CRISTHIAN</t>
  </si>
  <si>
    <t>OTERO MORAN,TATIANA MERCEDES / MELENDRES ARICA,LUIS ALBERTO</t>
  </si>
  <si>
    <t>Lesiones Culposas</t>
  </si>
  <si>
    <t>En investigacion</t>
  </si>
  <si>
    <t>Aún en diligencias con detenido</t>
  </si>
  <si>
    <t>QUITO MEZA,YSAEL</t>
  </si>
  <si>
    <t>Lesiones Leves</t>
  </si>
  <si>
    <t>AGUILAR PERALTA,CESAR AUGUSTO</t>
  </si>
  <si>
    <t>PAREDES ALBURQUEQUE,KATYA PAMELA</t>
  </si>
  <si>
    <t>GONZALES GONZALES,JERICO NOE</t>
  </si>
  <si>
    <t> SANTOLALLA CORREA,JOSVI SABA</t>
  </si>
  <si>
    <t>HURTADO JIMENEZ,EMILIO WALTER / CHIROQUE CALDERON,ALFONSO</t>
  </si>
  <si>
    <t>Hurto Agravado</t>
  </si>
  <si>
    <t>Audiencia Judicial con TA Efectiva</t>
  </si>
  <si>
    <t>MOREY TORRES,JORGE EMILIO</t>
  </si>
  <si>
    <t>Disposición para continuar diligencias</t>
  </si>
  <si>
    <t>HUACCHILLO CORDOVA,CARLOS ABRAHAM</t>
  </si>
  <si>
    <t>ESPINOZA MONTERO,CARLOS</t>
  </si>
  <si>
    <t>RODRIGUEZ VILELA,MARCO ANTONIO</t>
  </si>
  <si>
    <t>MONTERO CHAVEZ,AYTTON ROMARIO</t>
  </si>
  <si>
    <t>Audiencia</t>
  </si>
  <si>
    <t>ASPAUZA CAMACHO,ALFONSO</t>
  </si>
  <si>
    <t>Citacion</t>
  </si>
  <si>
    <t> SANCHEZ SARANGO,LESLIE CAROLINA / BAELLA SOSA,ANALI LIZETH / SARANGO GOMEZ,YASMIN NICOL</t>
  </si>
  <si>
    <t>DAVID SAÚL ÁLAMO PINGO</t>
  </si>
  <si>
    <t>Leiones Culposas</t>
  </si>
  <si>
    <t>VALDERRAMA TUME,CESAR JHONATHAN</t>
  </si>
  <si>
    <t>Receptación</t>
  </si>
  <si>
    <t>VILCHEZ CHERO,ANGEL</t>
  </si>
  <si>
    <t>Audiencia Judicial con Acusación</t>
  </si>
  <si>
    <t>SEMINARIO MARQUEZ,PERCY DARWIN</t>
  </si>
  <si>
    <t>YARLEQUE PINTADO,GIANPIERRE FERNANDO</t>
  </si>
  <si>
    <t>PEÑA CASTILLO,JUAN RAFAEL</t>
  </si>
  <si>
    <t>CARDENAS ANGARITA,CARLOS URIEL</t>
  </si>
  <si>
    <t>Lesiones culposas</t>
  </si>
  <si>
    <t>SANTACRUZ CHANTA,LUIS ANTHONY</t>
  </si>
  <si>
    <t>Desobediencia</t>
  </si>
  <si>
    <t>MORALES IMAN,FRANKLIN JUNIOR</t>
  </si>
  <si>
    <t>BARRERA LOPEZ,JHON YAMPIER</t>
  </si>
  <si>
    <t>INGA SILVA,JUAN CARLOS</t>
  </si>
  <si>
    <t>Hurto</t>
  </si>
  <si>
    <t>CABREJOS DIAZ,NEMESIO JOSE</t>
  </si>
  <si>
    <t>Fecha_Detencion</t>
  </si>
  <si>
    <t>Total_Detenidos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</si>
</sst>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d/mm/yyyy"/>
  </numFmts>
  <fonts count="13" x14ac:knownFonts="1">
    <font>
      <sz val="11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6100"/>
      <name val="Calibri"/>
    </font>
    <font>
      <sz val="11"/>
      <color rgb="FF333333"/>
      <name val="Calibri"/>
    </font>
    <font>
      <sz val="11"/>
      <color theme="1"/>
      <name val="Calibri"/>
    </font>
    <font>
      <sz val="11"/>
      <color theme="1"/>
      <name val="Arial"/>
      <scheme val="minor"/>
    </font>
    <font>
      <sz val="11"/>
      <color rgb="FF9C5700"/>
      <name val="Calibri"/>
    </font>
    <font>
      <b/>
      <sz val="11"/>
      <color rgb="FFFFFFFF"/>
      <name val="Calibri"/>
    </font>
    <font>
      <sz val="11"/>
      <color rgb="FF3F3F76"/>
      <name val="Calibri"/>
    </font>
    <font>
      <sz val="11"/>
      <name val="Arial"/>
    </font>
    <font>
      <sz val="11"/>
      <color rgb="FF000000"/>
      <name val="Arial"/>
    </font>
    <font>
      <sz val="8"/>
      <color rgb="FF333333"/>
      <name val="Roboto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FFCC99"/>
        <bgColor rgb="FFFFCC99"/>
      </patternFill>
    </fill>
    <fill>
      <patternFill patternType="solid">
        <fgColor rgb="FFFF0000"/>
        <bgColor rgb="FFFF0000"/>
      </patternFill>
    </fill>
  </fills>
  <borders count="16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3F3F3F"/>
      </bottom>
      <diagonal/>
    </border>
    <border>
      <left style="hair">
        <color rgb="FF3F3F3F"/>
      </left>
      <right style="hair">
        <color rgb="FF3F3F3F"/>
      </right>
      <top style="hair">
        <color rgb="FF3F3F3F"/>
      </top>
      <bottom/>
      <diagonal/>
    </border>
    <border>
      <left style="hair">
        <color rgb="FF3F3F3F"/>
      </left>
      <right style="hair">
        <color rgb="FF3F3F3F"/>
      </right>
      <top/>
      <bottom/>
      <diagonal/>
    </border>
    <border>
      <left style="hair">
        <color rgb="FF3F3F3F"/>
      </left>
      <right style="hair">
        <color rgb="FF3F3F3F"/>
      </right>
      <top/>
      <bottom style="hair">
        <color rgb="FF3F3F3F"/>
      </bottom>
      <diagonal/>
    </border>
    <border>
      <left style="hair">
        <color rgb="FF7F7F7F"/>
      </left>
      <right style="hair">
        <color rgb="FF000000"/>
      </right>
      <top style="hair">
        <color rgb="FF3F3F3F"/>
      </top>
      <bottom/>
      <diagonal/>
    </border>
    <border>
      <left style="hair">
        <color rgb="FF7F7F7F"/>
      </left>
      <right style="hair">
        <color rgb="FF000000"/>
      </right>
      <top/>
      <bottom/>
      <diagonal/>
    </border>
    <border>
      <left style="hair">
        <color rgb="FF7F7F7F"/>
      </left>
      <right style="hair">
        <color rgb="FF000000"/>
      </right>
      <top/>
      <bottom style="hair">
        <color rgb="FF7F7F7F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6" fillId="0" borderId="0" xfId="0" applyNumberFormat="1" applyFont="1"/>
    <xf numFmtId="0" fontId="6" fillId="0" borderId="0" xfId="0" applyFont="1"/>
    <xf numFmtId="165" fontId="5" fillId="0" borderId="0" xfId="0" applyNumberFormat="1" applyFont="1" applyAlignment="1">
      <alignment horizontal="center" vertical="center" wrapText="1"/>
    </xf>
    <xf numFmtId="20" fontId="5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20" fontId="5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wrapText="1"/>
    </xf>
    <xf numFmtId="20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0" fillId="0" borderId="0" xfId="0"/>
    <xf numFmtId="165" fontId="2" fillId="0" borderId="0" xfId="0" applyNumberFormat="1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/>
    <xf numFmtId="0" fontId="2" fillId="0" borderId="2" xfId="0" applyFont="1" applyBorder="1" applyAlignment="1">
      <alignment horizontal="center" vertical="center" wrapText="1"/>
    </xf>
    <xf numFmtId="0" fontId="10" fillId="0" borderId="5" xfId="0" applyFont="1" applyBorder="1"/>
    <xf numFmtId="20" fontId="2" fillId="0" borderId="2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10" fillId="0" borderId="7" xfId="0" applyFont="1" applyBorder="1"/>
    <xf numFmtId="165" fontId="2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2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5" fontId="5" fillId="6" borderId="2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10" fillId="0" borderId="12" xfId="0" applyFont="1" applyBorder="1"/>
    <xf numFmtId="0" fontId="10" fillId="0" borderId="13" xfId="0" applyFont="1" applyBorder="1"/>
    <xf numFmtId="164" fontId="2" fillId="0" borderId="2" xfId="0" applyNumberFormat="1" applyFont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10" fillId="0" borderId="9" xfId="0" applyFont="1" applyBorder="1"/>
    <xf numFmtId="0" fontId="10" fillId="0" borderId="10" xfId="0" applyFont="1" applyBorder="1"/>
    <xf numFmtId="0" fontId="5" fillId="0" borderId="4" xfId="0" applyFont="1" applyBorder="1" applyAlignment="1">
      <alignment horizontal="center" vertical="center" wrapText="1"/>
    </xf>
    <xf numFmtId="0" fontId="10" fillId="0" borderId="6" xfId="0" applyFont="1" applyBorder="1"/>
    <xf numFmtId="0" fontId="3" fillId="2" borderId="2" xfId="0" applyFont="1" applyFill="1" applyBorder="1" applyAlignment="1">
      <alignment horizontal="center" vertical="center" wrapText="1"/>
    </xf>
    <xf numFmtId="20" fontId="5" fillId="0" borderId="4" xfId="0" applyNumberFormat="1" applyFont="1" applyBorder="1" applyAlignment="1">
      <alignment horizontal="center" vertical="center" wrapText="1"/>
    </xf>
    <xf numFmtId="20" fontId="5" fillId="6" borderId="2" xfId="0" applyNumberFormat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Gráfico1 Tendencia Diaria de De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Tendencia Diaria de Detenciones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'Gráfico1 Tendencia Diaria de De'!$B$3</c:f>
              <c:strCache>
                <c:ptCount val="1"/>
                <c:pt idx="0">
                  <c:v>Total_Detenidos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'Gráfico1 Tendencia Diaria de De'!$A$4:$A$9</c:f>
              <c:numCache>
                <c:formatCode>d/m/yyyy</c:formatCode>
                <c:ptCount val="6"/>
                <c:pt idx="0">
                  <c:v>46020</c:v>
                </c:pt>
                <c:pt idx="1">
                  <c:v>46021</c:v>
                </c:pt>
                <c:pt idx="2">
                  <c:v>46022</c:v>
                </c:pt>
                <c:pt idx="3">
                  <c:v>46023</c:v>
                </c:pt>
                <c:pt idx="4">
                  <c:v>46024</c:v>
                </c:pt>
                <c:pt idx="5">
                  <c:v>46025</c:v>
                </c:pt>
              </c:numCache>
            </c:numRef>
          </c:cat>
          <c:val>
            <c:numRef>
              <c:f>'Gráfico1 Tendencia Diaria de De'!$B$4:$B$9</c:f>
              <c:numCache>
                <c:formatCode>General</c:formatCode>
                <c:ptCount val="6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9</c:v>
                </c:pt>
                <c:pt idx="4">
                  <c:v>2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7-4E8A-A492-CA31AD0E2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307304"/>
        <c:axId val="971264800"/>
      </c:lineChart>
      <c:dateAx>
        <c:axId val="857307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 de Detención</a:t>
                </a:r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71264800"/>
        <c:crosses val="autoZero"/>
        <c:auto val="1"/>
        <c:lblOffset val="100"/>
        <c:baseTimeUnit val="days"/>
      </c:dateAx>
      <c:valAx>
        <c:axId val="971264800"/>
        <c:scaling>
          <c:orientation val="minMax"/>
          <c:max val="21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 Detenidos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8573073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85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ndencia_Diaria_de_Detenciones" displayName="Tendencia_Diaria_de_Detenciones" ref="A3:B9">
  <tableColumns count="2">
    <tableColumn id="1" xr3:uid="{00000000-0010-0000-0000-000001000000}" name="Fecha_Detencion"/>
    <tableColumn id="2" xr3:uid="{00000000-0010-0000-0000-000002000000}" name="Total_Detenidos"/>
  </tableColumns>
  <tableStyleInfo name="Gráfico1 Tendencia Diaria de D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42"/>
  <sheetViews>
    <sheetView tabSelected="1" workbookViewId="0"/>
  </sheetViews>
  <sheetFormatPr baseColWidth="10" defaultColWidth="12.625" defaultRowHeight="15" customHeight="1" x14ac:dyDescent="0.2"/>
  <cols>
    <col min="1" max="1" width="13.25" customWidth="1"/>
    <col min="2" max="2" width="11.875" customWidth="1"/>
    <col min="3" max="3" width="12.5" customWidth="1"/>
    <col min="4" max="4" width="18.375" customWidth="1"/>
    <col min="5" max="5" width="20.25" customWidth="1"/>
    <col min="6" max="6" width="30.25" customWidth="1"/>
    <col min="7" max="7" width="16.75" customWidth="1"/>
    <col min="8" max="8" width="35.625" customWidth="1"/>
    <col min="9" max="9" width="13" customWidth="1"/>
    <col min="10" max="10" width="7.125" customWidth="1"/>
    <col min="11" max="11" width="13.375" customWidth="1"/>
    <col min="12" max="12" width="36.375" customWidth="1"/>
    <col min="13" max="13" width="12.875" customWidth="1"/>
    <col min="14" max="14" width="15.125" customWidth="1"/>
    <col min="15" max="15" width="12.75" customWidth="1"/>
    <col min="16" max="16" width="9.25" customWidth="1"/>
    <col min="17" max="26" width="8.625" customWidth="1"/>
  </cols>
  <sheetData>
    <row r="1" spans="1:26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">
      <c r="A2" s="46" t="s">
        <v>16</v>
      </c>
      <c r="B2" s="4">
        <v>46062</v>
      </c>
      <c r="C2" s="5">
        <v>18.25</v>
      </c>
      <c r="D2" s="5" t="s">
        <v>17</v>
      </c>
      <c r="E2" s="5" t="s">
        <v>18</v>
      </c>
      <c r="F2" s="5" t="s">
        <v>19</v>
      </c>
      <c r="G2" s="5">
        <v>73571217</v>
      </c>
      <c r="H2" s="6" t="s">
        <v>20</v>
      </c>
      <c r="I2" s="6" t="s">
        <v>21</v>
      </c>
      <c r="J2" s="6">
        <v>52</v>
      </c>
      <c r="K2" s="6">
        <v>1</v>
      </c>
      <c r="L2" s="5" t="s">
        <v>22</v>
      </c>
      <c r="M2" s="5"/>
      <c r="N2" s="5"/>
      <c r="O2" s="7"/>
      <c r="P2" s="5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x14ac:dyDescent="0.2">
      <c r="A3" s="39"/>
      <c r="B3" s="4">
        <v>46062</v>
      </c>
      <c r="C3" s="8">
        <v>18.149999999999999</v>
      </c>
      <c r="D3" s="8" t="s">
        <v>23</v>
      </c>
      <c r="E3" s="8" t="s">
        <v>24</v>
      </c>
      <c r="F3" s="8" t="s">
        <v>25</v>
      </c>
      <c r="G3" s="8">
        <v>70095404</v>
      </c>
      <c r="H3" s="8" t="s">
        <v>26</v>
      </c>
      <c r="I3" s="8">
        <v>44421411</v>
      </c>
      <c r="J3" s="8">
        <v>39</v>
      </c>
      <c r="K3" s="6">
        <v>1</v>
      </c>
      <c r="L3" s="5" t="s">
        <v>27</v>
      </c>
      <c r="M3" s="5"/>
      <c r="N3" s="5"/>
      <c r="O3" s="7"/>
      <c r="P3" s="5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9"/>
      <c r="B4" s="4">
        <v>46062</v>
      </c>
      <c r="C4" s="8">
        <v>19.579999999999998</v>
      </c>
      <c r="D4" s="8" t="s">
        <v>28</v>
      </c>
      <c r="E4" s="8" t="s">
        <v>29</v>
      </c>
      <c r="F4" s="8" t="s">
        <v>30</v>
      </c>
      <c r="G4" s="8">
        <v>72913428</v>
      </c>
      <c r="H4" s="8" t="s">
        <v>31</v>
      </c>
      <c r="I4" s="8">
        <v>61190525</v>
      </c>
      <c r="J4" s="8">
        <v>18</v>
      </c>
      <c r="K4" s="6">
        <v>1</v>
      </c>
      <c r="L4" s="5" t="s">
        <v>22</v>
      </c>
      <c r="M4" s="5"/>
      <c r="N4" s="5"/>
      <c r="O4" s="7"/>
      <c r="P4" s="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9"/>
      <c r="B5" s="4">
        <v>46062</v>
      </c>
      <c r="C5" s="8" t="s">
        <v>32</v>
      </c>
      <c r="D5" s="8" t="s">
        <v>33</v>
      </c>
      <c r="E5" s="8" t="s">
        <v>34</v>
      </c>
      <c r="F5" s="8" t="s">
        <v>35</v>
      </c>
      <c r="G5" s="8">
        <v>71983636</v>
      </c>
      <c r="H5" s="8" t="s">
        <v>36</v>
      </c>
      <c r="I5" s="8">
        <v>41368911</v>
      </c>
      <c r="J5" s="8">
        <v>43</v>
      </c>
      <c r="K5" s="8">
        <v>1</v>
      </c>
      <c r="L5" s="5" t="s">
        <v>22</v>
      </c>
      <c r="M5" s="5"/>
      <c r="N5" s="5"/>
      <c r="O5" s="7"/>
      <c r="P5" s="5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9"/>
      <c r="B6" s="4">
        <v>46062</v>
      </c>
      <c r="C6" s="8" t="s">
        <v>37</v>
      </c>
      <c r="D6" s="8" t="s">
        <v>38</v>
      </c>
      <c r="E6" s="8" t="s">
        <v>34</v>
      </c>
      <c r="F6" s="8" t="s">
        <v>35</v>
      </c>
      <c r="G6" s="8">
        <v>71983636</v>
      </c>
      <c r="H6" s="8" t="s">
        <v>39</v>
      </c>
      <c r="I6" s="8">
        <v>45524042</v>
      </c>
      <c r="J6" s="8">
        <v>37</v>
      </c>
      <c r="K6" s="8">
        <v>1</v>
      </c>
      <c r="L6" s="5" t="s">
        <v>22</v>
      </c>
      <c r="M6" s="5"/>
      <c r="N6" s="5"/>
      <c r="O6" s="7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9"/>
      <c r="B7" s="9">
        <v>46063</v>
      </c>
      <c r="C7" s="10" t="s">
        <v>40</v>
      </c>
      <c r="D7" s="10" t="s">
        <v>41</v>
      </c>
      <c r="E7" s="10" t="s">
        <v>41</v>
      </c>
      <c r="F7" s="10" t="s">
        <v>42</v>
      </c>
      <c r="G7" s="10">
        <v>47357381</v>
      </c>
      <c r="H7" s="10" t="s">
        <v>43</v>
      </c>
      <c r="I7" s="10">
        <v>74933350</v>
      </c>
      <c r="J7" s="10">
        <v>31</v>
      </c>
      <c r="K7" s="10">
        <v>1</v>
      </c>
      <c r="L7" s="10" t="s">
        <v>44</v>
      </c>
      <c r="M7" s="5"/>
      <c r="N7" s="5"/>
      <c r="O7" s="7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9"/>
      <c r="B8" s="11">
        <v>46065</v>
      </c>
      <c r="C8" s="8" t="s">
        <v>45</v>
      </c>
      <c r="D8" s="8" t="s">
        <v>46</v>
      </c>
      <c r="E8" s="8" t="s">
        <v>47</v>
      </c>
      <c r="F8" s="8" t="s">
        <v>48</v>
      </c>
      <c r="G8" s="8">
        <v>76306580</v>
      </c>
      <c r="H8" s="8" t="s">
        <v>49</v>
      </c>
      <c r="I8" s="8">
        <v>42391773</v>
      </c>
      <c r="J8" s="8">
        <v>40</v>
      </c>
      <c r="K8" s="8">
        <v>1</v>
      </c>
      <c r="L8" s="8" t="s">
        <v>50</v>
      </c>
      <c r="M8" s="5"/>
      <c r="N8" s="5"/>
      <c r="O8" s="7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39"/>
      <c r="B9" s="4">
        <v>46065</v>
      </c>
      <c r="C9" s="8" t="s">
        <v>51</v>
      </c>
      <c r="D9" s="8" t="s">
        <v>52</v>
      </c>
      <c r="E9" s="8" t="s">
        <v>53</v>
      </c>
      <c r="F9" s="8" t="s">
        <v>54</v>
      </c>
      <c r="G9" s="8">
        <v>41612059</v>
      </c>
      <c r="H9" s="8" t="s">
        <v>55</v>
      </c>
      <c r="I9" s="8"/>
      <c r="J9" s="8">
        <v>29</v>
      </c>
      <c r="K9" s="8">
        <v>1</v>
      </c>
      <c r="L9" s="8" t="s">
        <v>56</v>
      </c>
      <c r="M9" s="5"/>
      <c r="N9" s="5"/>
      <c r="O9" s="7"/>
      <c r="P9" s="5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39"/>
      <c r="B10" s="4">
        <v>46065</v>
      </c>
      <c r="C10" s="8" t="s">
        <v>57</v>
      </c>
      <c r="D10" s="8" t="s">
        <v>58</v>
      </c>
      <c r="E10" s="8" t="s">
        <v>59</v>
      </c>
      <c r="F10" s="8" t="s">
        <v>60</v>
      </c>
      <c r="G10" s="8">
        <v>45495568</v>
      </c>
      <c r="H10" s="8" t="s">
        <v>61</v>
      </c>
      <c r="I10" s="8">
        <v>4576447</v>
      </c>
      <c r="J10" s="8">
        <v>37</v>
      </c>
      <c r="K10" s="8">
        <v>1</v>
      </c>
      <c r="L10" s="8" t="s">
        <v>44</v>
      </c>
      <c r="M10" s="5"/>
      <c r="N10" s="5"/>
      <c r="O10" s="7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39"/>
      <c r="B11" s="4">
        <v>46065</v>
      </c>
      <c r="C11" s="8">
        <v>18.45</v>
      </c>
      <c r="D11" s="8" t="s">
        <v>62</v>
      </c>
      <c r="E11" s="8" t="s">
        <v>34</v>
      </c>
      <c r="F11" s="8" t="s">
        <v>63</v>
      </c>
      <c r="G11" s="8">
        <v>73980022</v>
      </c>
      <c r="H11" s="8" t="s">
        <v>64</v>
      </c>
      <c r="I11" s="8" t="s">
        <v>65</v>
      </c>
      <c r="J11" s="8">
        <v>53</v>
      </c>
      <c r="K11" s="8">
        <v>1</v>
      </c>
      <c r="L11" s="8" t="s">
        <v>44</v>
      </c>
      <c r="M11" s="5"/>
      <c r="N11" s="5"/>
      <c r="O11" s="7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39"/>
      <c r="B12" s="4">
        <v>46065</v>
      </c>
      <c r="C12" s="8" t="s">
        <v>66</v>
      </c>
      <c r="D12" s="8" t="s">
        <v>67</v>
      </c>
      <c r="E12" s="8" t="s">
        <v>34</v>
      </c>
      <c r="F12" s="8" t="s">
        <v>35</v>
      </c>
      <c r="G12" s="8">
        <v>71983686</v>
      </c>
      <c r="H12" s="8" t="s">
        <v>68</v>
      </c>
      <c r="I12" s="8">
        <v>61311709</v>
      </c>
      <c r="J12" s="8">
        <v>23</v>
      </c>
      <c r="K12" s="8">
        <v>1</v>
      </c>
      <c r="L12" s="8" t="s">
        <v>22</v>
      </c>
      <c r="M12" s="5"/>
      <c r="N12" s="5"/>
      <c r="O12" s="7"/>
      <c r="P12" s="5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39"/>
      <c r="B13" s="4">
        <v>46066</v>
      </c>
      <c r="C13" s="8" t="s">
        <v>69</v>
      </c>
      <c r="D13" s="8"/>
      <c r="E13" s="8" t="s">
        <v>18</v>
      </c>
      <c r="F13" s="8" t="s">
        <v>70</v>
      </c>
      <c r="G13" s="8">
        <v>78007241</v>
      </c>
      <c r="H13" s="8" t="s">
        <v>71</v>
      </c>
      <c r="I13" s="8">
        <v>73032756</v>
      </c>
      <c r="J13" s="8">
        <v>24</v>
      </c>
      <c r="K13" s="8">
        <v>1</v>
      </c>
      <c r="L13" s="8" t="s">
        <v>22</v>
      </c>
      <c r="M13" s="5"/>
      <c r="N13" s="5"/>
      <c r="O13" s="7"/>
      <c r="P13" s="5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9"/>
      <c r="B14" s="4">
        <v>46066</v>
      </c>
      <c r="C14" s="8" t="s">
        <v>72</v>
      </c>
      <c r="D14" s="8" t="s">
        <v>73</v>
      </c>
      <c r="E14" s="8" t="s">
        <v>74</v>
      </c>
      <c r="F14" s="8" t="s">
        <v>75</v>
      </c>
      <c r="G14" s="8">
        <v>46837694</v>
      </c>
      <c r="H14" s="8" t="s">
        <v>76</v>
      </c>
      <c r="I14" s="8">
        <v>75126684</v>
      </c>
      <c r="J14" s="8">
        <v>24</v>
      </c>
      <c r="K14" s="8">
        <v>1</v>
      </c>
      <c r="L14" s="8" t="s">
        <v>44</v>
      </c>
      <c r="M14" s="5"/>
      <c r="N14" s="5"/>
      <c r="O14" s="7"/>
      <c r="P14" s="5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39"/>
      <c r="B15" s="4">
        <v>46066</v>
      </c>
      <c r="C15" s="8">
        <v>18.350000000000001</v>
      </c>
      <c r="D15" s="8" t="s">
        <v>77</v>
      </c>
      <c r="E15" s="8" t="s">
        <v>78</v>
      </c>
      <c r="F15" s="8" t="s">
        <v>79</v>
      </c>
      <c r="G15" s="8">
        <v>74144906</v>
      </c>
      <c r="H15" s="8" t="s">
        <v>80</v>
      </c>
      <c r="I15" s="8">
        <v>60988884</v>
      </c>
      <c r="J15" s="8">
        <v>19</v>
      </c>
      <c r="K15" s="8">
        <v>1</v>
      </c>
      <c r="L15" s="8" t="s">
        <v>81</v>
      </c>
      <c r="M15" s="5"/>
      <c r="N15" s="5"/>
      <c r="O15" s="7"/>
      <c r="P15" s="5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39"/>
      <c r="B16" s="4">
        <v>46067</v>
      </c>
      <c r="C16" s="8" t="s">
        <v>82</v>
      </c>
      <c r="D16" s="8" t="s">
        <v>83</v>
      </c>
      <c r="E16" s="8" t="s">
        <v>78</v>
      </c>
      <c r="F16" s="8" t="s">
        <v>84</v>
      </c>
      <c r="G16" s="8">
        <v>46826178</v>
      </c>
      <c r="H16" s="8" t="s">
        <v>85</v>
      </c>
      <c r="I16" s="8">
        <v>76585771</v>
      </c>
      <c r="J16" s="8">
        <v>28</v>
      </c>
      <c r="K16" s="8">
        <v>1</v>
      </c>
      <c r="L16" s="5" t="s">
        <v>22</v>
      </c>
      <c r="M16" s="5"/>
      <c r="N16" s="5"/>
      <c r="O16" s="7"/>
      <c r="P16" s="5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39"/>
      <c r="B17" s="4">
        <v>46067</v>
      </c>
      <c r="C17" s="8" t="s">
        <v>86</v>
      </c>
      <c r="D17" s="8" t="s">
        <v>87</v>
      </c>
      <c r="E17" s="8" t="s">
        <v>34</v>
      </c>
      <c r="F17" s="8" t="s">
        <v>35</v>
      </c>
      <c r="G17" s="8">
        <v>71983686</v>
      </c>
      <c r="H17" s="8" t="s">
        <v>88</v>
      </c>
      <c r="I17" s="8">
        <v>80453034</v>
      </c>
      <c r="J17" s="8">
        <v>46</v>
      </c>
      <c r="K17" s="8">
        <v>1</v>
      </c>
      <c r="L17" s="5" t="s">
        <v>22</v>
      </c>
      <c r="M17" s="5"/>
      <c r="N17" s="5"/>
      <c r="O17" s="7"/>
      <c r="P17" s="5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39"/>
      <c r="B18" s="4">
        <v>46067</v>
      </c>
      <c r="C18" s="8">
        <v>21.45</v>
      </c>
      <c r="D18" s="8" t="s">
        <v>33</v>
      </c>
      <c r="E18" s="8" t="s">
        <v>34</v>
      </c>
      <c r="F18" s="8" t="s">
        <v>35</v>
      </c>
      <c r="G18" s="8">
        <v>71983686</v>
      </c>
      <c r="H18" s="8" t="s">
        <v>89</v>
      </c>
      <c r="I18" s="8" t="s">
        <v>90</v>
      </c>
      <c r="J18" s="8">
        <v>55</v>
      </c>
      <c r="K18" s="8">
        <v>1</v>
      </c>
      <c r="L18" s="5" t="s">
        <v>22</v>
      </c>
      <c r="M18" s="5"/>
      <c r="N18" s="5"/>
      <c r="O18" s="7"/>
      <c r="P18" s="5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39"/>
      <c r="B19" s="4">
        <v>46068</v>
      </c>
      <c r="C19" s="8">
        <v>6.45</v>
      </c>
      <c r="D19" s="8"/>
      <c r="E19" s="8" t="s">
        <v>91</v>
      </c>
      <c r="F19" s="8" t="s">
        <v>92</v>
      </c>
      <c r="G19" s="8">
        <v>48559238</v>
      </c>
      <c r="H19" s="8" t="s">
        <v>93</v>
      </c>
      <c r="I19" s="8">
        <v>61302329</v>
      </c>
      <c r="J19" s="8">
        <v>20</v>
      </c>
      <c r="K19" s="8">
        <v>1</v>
      </c>
      <c r="L19" s="5" t="s">
        <v>22</v>
      </c>
      <c r="M19" s="5"/>
      <c r="N19" s="5"/>
      <c r="O19" s="7"/>
      <c r="P19" s="5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39"/>
      <c r="B20" s="4">
        <v>46068</v>
      </c>
      <c r="C20" s="8" t="s">
        <v>94</v>
      </c>
      <c r="D20" s="8" t="s">
        <v>95</v>
      </c>
      <c r="E20" s="8" t="s">
        <v>34</v>
      </c>
      <c r="F20" s="8" t="s">
        <v>35</v>
      </c>
      <c r="G20" s="8">
        <v>71983686</v>
      </c>
      <c r="H20" s="8" t="s">
        <v>96</v>
      </c>
      <c r="I20" s="8">
        <v>44038048</v>
      </c>
      <c r="J20" s="8">
        <v>43</v>
      </c>
      <c r="K20" s="8">
        <v>1</v>
      </c>
      <c r="L20" s="5" t="s">
        <v>22</v>
      </c>
      <c r="M20" s="5"/>
      <c r="N20" s="5"/>
      <c r="O20" s="7"/>
      <c r="P20" s="5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39"/>
      <c r="B21" s="4">
        <v>46068</v>
      </c>
      <c r="C21" s="8" t="s">
        <v>97</v>
      </c>
      <c r="D21" s="8" t="s">
        <v>98</v>
      </c>
      <c r="E21" s="8" t="s">
        <v>34</v>
      </c>
      <c r="F21" s="8" t="s">
        <v>35</v>
      </c>
      <c r="G21" s="8">
        <v>71983686</v>
      </c>
      <c r="H21" s="8" t="s">
        <v>99</v>
      </c>
      <c r="I21" s="8">
        <v>70409325</v>
      </c>
      <c r="J21" s="8">
        <v>23</v>
      </c>
      <c r="K21" s="8">
        <v>1</v>
      </c>
      <c r="L21" s="5" t="s">
        <v>22</v>
      </c>
      <c r="M21" s="5"/>
      <c r="N21" s="5"/>
      <c r="O21" s="7"/>
      <c r="P21" s="5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39"/>
      <c r="B22" s="4">
        <v>46068</v>
      </c>
      <c r="C22" s="8">
        <v>11.05</v>
      </c>
      <c r="D22" s="8" t="s">
        <v>100</v>
      </c>
      <c r="E22" s="8" t="s">
        <v>18</v>
      </c>
      <c r="F22" s="8" t="s">
        <v>101</v>
      </c>
      <c r="G22" s="8">
        <v>72402486</v>
      </c>
      <c r="H22" s="8" t="s">
        <v>102</v>
      </c>
      <c r="I22" s="8" t="s">
        <v>103</v>
      </c>
      <c r="J22" s="8">
        <v>27</v>
      </c>
      <c r="K22" s="8">
        <v>1</v>
      </c>
      <c r="L22" s="5" t="s">
        <v>44</v>
      </c>
      <c r="M22" s="5"/>
      <c r="N22" s="5"/>
      <c r="O22" s="7"/>
      <c r="P22" s="5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39"/>
      <c r="B23" s="4">
        <v>46068</v>
      </c>
      <c r="C23" s="8">
        <v>10.45</v>
      </c>
      <c r="D23" s="8" t="s">
        <v>104</v>
      </c>
      <c r="E23" s="8" t="s">
        <v>41</v>
      </c>
      <c r="F23" s="8" t="s">
        <v>105</v>
      </c>
      <c r="G23" s="8">
        <v>74767331</v>
      </c>
      <c r="H23" s="8" t="s">
        <v>106</v>
      </c>
      <c r="I23" s="8">
        <v>80235264</v>
      </c>
      <c r="J23" s="8">
        <v>47</v>
      </c>
      <c r="K23" s="8">
        <v>1</v>
      </c>
      <c r="L23" s="5" t="s">
        <v>50</v>
      </c>
      <c r="M23" s="5"/>
      <c r="N23" s="5"/>
      <c r="O23" s="7"/>
      <c r="P23" s="5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39"/>
      <c r="B24" s="4">
        <v>46068</v>
      </c>
      <c r="C24" s="8">
        <v>17.45</v>
      </c>
      <c r="D24" s="8" t="s">
        <v>87</v>
      </c>
      <c r="E24" s="8" t="s">
        <v>34</v>
      </c>
      <c r="F24" s="8" t="s">
        <v>107</v>
      </c>
      <c r="G24" s="8">
        <v>46097673</v>
      </c>
      <c r="H24" s="8" t="s">
        <v>108</v>
      </c>
      <c r="I24" s="8">
        <v>70757169</v>
      </c>
      <c r="J24" s="8">
        <v>30</v>
      </c>
      <c r="K24" s="8">
        <v>1</v>
      </c>
      <c r="L24" s="5" t="s">
        <v>22</v>
      </c>
      <c r="M24" s="5"/>
      <c r="N24" s="5"/>
      <c r="O24" s="7"/>
      <c r="P24" s="5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39"/>
      <c r="B25" s="4">
        <v>46068</v>
      </c>
      <c r="C25" s="8" t="s">
        <v>109</v>
      </c>
      <c r="D25" s="8"/>
      <c r="E25" s="8" t="s">
        <v>18</v>
      </c>
      <c r="F25" s="8" t="s">
        <v>110</v>
      </c>
      <c r="G25" s="8">
        <v>71078364</v>
      </c>
      <c r="H25" s="8" t="s">
        <v>111</v>
      </c>
      <c r="I25" s="8">
        <v>76398879</v>
      </c>
      <c r="J25" s="8">
        <v>24</v>
      </c>
      <c r="K25" s="8">
        <v>1</v>
      </c>
      <c r="L25" s="5" t="s">
        <v>22</v>
      </c>
      <c r="M25" s="5"/>
      <c r="N25" s="5"/>
      <c r="O25" s="7"/>
      <c r="P25" s="5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39"/>
      <c r="B26" s="4">
        <v>46068</v>
      </c>
      <c r="C26" s="8" t="s">
        <v>112</v>
      </c>
      <c r="D26" s="8" t="s">
        <v>98</v>
      </c>
      <c r="E26" s="8" t="s">
        <v>34</v>
      </c>
      <c r="F26" s="8" t="s">
        <v>107</v>
      </c>
      <c r="G26" s="8"/>
      <c r="H26" s="8" t="s">
        <v>113</v>
      </c>
      <c r="I26" s="8">
        <v>72457321</v>
      </c>
      <c r="J26" s="8">
        <v>30</v>
      </c>
      <c r="K26" s="8">
        <v>1</v>
      </c>
      <c r="L26" s="5" t="s">
        <v>22</v>
      </c>
      <c r="M26" s="5"/>
      <c r="N26" s="5"/>
      <c r="O26" s="7"/>
      <c r="P26" s="5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39"/>
      <c r="B27" s="38">
        <v>46068</v>
      </c>
      <c r="C27" s="42" t="s">
        <v>112</v>
      </c>
      <c r="D27" s="42" t="s">
        <v>114</v>
      </c>
      <c r="E27" s="42" t="s">
        <v>115</v>
      </c>
      <c r="F27" s="42" t="s">
        <v>116</v>
      </c>
      <c r="G27" s="42">
        <v>72939395</v>
      </c>
      <c r="H27" s="8" t="s">
        <v>117</v>
      </c>
      <c r="I27" s="8">
        <v>48337167</v>
      </c>
      <c r="J27" s="8">
        <v>32</v>
      </c>
      <c r="K27" s="42">
        <v>2</v>
      </c>
      <c r="L27" s="45" t="s">
        <v>44</v>
      </c>
      <c r="M27" s="5"/>
      <c r="N27" s="5"/>
      <c r="O27" s="7"/>
      <c r="P27" s="5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9"/>
      <c r="B28" s="39"/>
      <c r="C28" s="39"/>
      <c r="D28" s="39"/>
      <c r="E28" s="39"/>
      <c r="F28" s="39"/>
      <c r="G28" s="39"/>
      <c r="H28" s="8" t="s">
        <v>118</v>
      </c>
      <c r="I28" s="8">
        <v>46950177</v>
      </c>
      <c r="J28" s="8">
        <v>34</v>
      </c>
      <c r="K28" s="39"/>
      <c r="L28" s="39"/>
      <c r="M28" s="5"/>
      <c r="N28" s="5"/>
      <c r="O28" s="7"/>
      <c r="P28" s="5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3"/>
      <c r="B29" s="4">
        <v>46069</v>
      </c>
      <c r="C29" s="8" t="s">
        <v>119</v>
      </c>
      <c r="D29" s="8" t="s">
        <v>98</v>
      </c>
      <c r="E29" s="8" t="s">
        <v>34</v>
      </c>
      <c r="F29" s="8" t="s">
        <v>107</v>
      </c>
      <c r="G29" s="8"/>
      <c r="H29" s="8" t="s">
        <v>120</v>
      </c>
      <c r="I29" s="8">
        <v>75934590</v>
      </c>
      <c r="J29" s="8">
        <v>22</v>
      </c>
      <c r="K29" s="8">
        <v>1</v>
      </c>
      <c r="L29" s="5" t="s">
        <v>22</v>
      </c>
      <c r="M29" s="5"/>
      <c r="N29" s="5"/>
      <c r="O29" s="7"/>
      <c r="P29" s="5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6.75" customHeight="1" x14ac:dyDescent="0.2">
      <c r="A30" s="47" t="s">
        <v>121</v>
      </c>
      <c r="B30" s="40">
        <v>46063</v>
      </c>
      <c r="C30" s="45" t="s">
        <v>122</v>
      </c>
      <c r="D30" s="45" t="s">
        <v>123</v>
      </c>
      <c r="E30" s="45" t="s">
        <v>47</v>
      </c>
      <c r="F30" s="45" t="s">
        <v>124</v>
      </c>
      <c r="G30" s="45">
        <v>45034677</v>
      </c>
      <c r="H30" s="6" t="s">
        <v>125</v>
      </c>
      <c r="I30" s="6">
        <v>77247111</v>
      </c>
      <c r="J30" s="6">
        <v>25</v>
      </c>
      <c r="K30" s="48">
        <v>2</v>
      </c>
      <c r="L30" s="49" t="s">
        <v>126</v>
      </c>
      <c r="M30" s="5"/>
      <c r="N30" s="5"/>
      <c r="O30" s="7"/>
      <c r="P30" s="5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39"/>
      <c r="B31" s="39"/>
      <c r="C31" s="39"/>
      <c r="D31" s="39"/>
      <c r="E31" s="39"/>
      <c r="F31" s="39"/>
      <c r="G31" s="39"/>
      <c r="H31" s="5" t="s">
        <v>127</v>
      </c>
      <c r="I31" s="5">
        <v>75866043</v>
      </c>
      <c r="J31" s="5">
        <v>22</v>
      </c>
      <c r="K31" s="39"/>
      <c r="L31" s="39"/>
      <c r="M31" s="5"/>
      <c r="N31" s="5"/>
      <c r="O31" s="7"/>
      <c r="P31" s="5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39"/>
      <c r="B32" s="7">
        <v>46063</v>
      </c>
      <c r="C32" s="5">
        <v>20.079999999999998</v>
      </c>
      <c r="D32" s="5" t="s">
        <v>128</v>
      </c>
      <c r="E32" s="5" t="s">
        <v>74</v>
      </c>
      <c r="F32" s="5" t="s">
        <v>129</v>
      </c>
      <c r="G32" s="5">
        <v>46595266</v>
      </c>
      <c r="H32" s="5" t="s">
        <v>130</v>
      </c>
      <c r="I32" s="5">
        <v>80173810</v>
      </c>
      <c r="J32" s="5">
        <v>49</v>
      </c>
      <c r="K32" s="5">
        <v>1</v>
      </c>
      <c r="L32" s="5" t="s">
        <v>22</v>
      </c>
      <c r="M32" s="5"/>
      <c r="N32" s="5"/>
      <c r="O32" s="7"/>
      <c r="P32" s="5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x14ac:dyDescent="0.2">
      <c r="A33" s="39"/>
      <c r="B33" s="7">
        <v>46064</v>
      </c>
      <c r="C33" s="5">
        <v>5.45</v>
      </c>
      <c r="D33" s="5" t="s">
        <v>131</v>
      </c>
      <c r="E33" s="5" t="s">
        <v>78</v>
      </c>
      <c r="F33" s="5" t="s">
        <v>132</v>
      </c>
      <c r="G33" s="5">
        <v>48018426</v>
      </c>
      <c r="H33" s="5" t="s">
        <v>133</v>
      </c>
      <c r="I33" s="5">
        <v>44052732</v>
      </c>
      <c r="J33" s="5">
        <v>39</v>
      </c>
      <c r="K33" s="5">
        <v>1</v>
      </c>
      <c r="L33" s="5" t="s">
        <v>134</v>
      </c>
      <c r="M33" s="5"/>
      <c r="N33" s="5"/>
      <c r="O33" s="7"/>
      <c r="P33" s="5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39"/>
      <c r="B34" s="11">
        <v>46064</v>
      </c>
      <c r="C34" s="8" t="s">
        <v>40</v>
      </c>
      <c r="D34" s="8" t="s">
        <v>135</v>
      </c>
      <c r="E34" s="8" t="s">
        <v>78</v>
      </c>
      <c r="F34" s="8" t="s">
        <v>136</v>
      </c>
      <c r="G34" s="8">
        <v>71019256</v>
      </c>
      <c r="H34" s="8" t="s">
        <v>137</v>
      </c>
      <c r="I34" s="8">
        <v>73742760</v>
      </c>
      <c r="J34" s="8">
        <v>28</v>
      </c>
      <c r="K34" s="8">
        <v>1</v>
      </c>
      <c r="L34" s="8" t="s">
        <v>138</v>
      </c>
      <c r="M34" s="5"/>
      <c r="N34" s="5"/>
      <c r="O34" s="7"/>
      <c r="P34" s="5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39"/>
      <c r="B35" s="11">
        <v>46065</v>
      </c>
      <c r="C35" s="8" t="s">
        <v>139</v>
      </c>
      <c r="D35" s="8" t="s">
        <v>87</v>
      </c>
      <c r="E35" s="8" t="s">
        <v>34</v>
      </c>
      <c r="F35" s="8" t="s">
        <v>107</v>
      </c>
      <c r="G35" s="8">
        <v>46097673</v>
      </c>
      <c r="H35" s="8" t="s">
        <v>140</v>
      </c>
      <c r="I35" s="8">
        <v>42322361</v>
      </c>
      <c r="J35" s="8">
        <v>42</v>
      </c>
      <c r="K35" s="8">
        <v>1</v>
      </c>
      <c r="L35" s="8" t="s">
        <v>22</v>
      </c>
      <c r="M35" s="5"/>
      <c r="N35" s="5"/>
      <c r="O35" s="7"/>
      <c r="P35" s="5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39"/>
      <c r="B36" s="9">
        <v>46065</v>
      </c>
      <c r="C36" s="10" t="s">
        <v>141</v>
      </c>
      <c r="D36" s="10" t="s">
        <v>142</v>
      </c>
      <c r="E36" s="10" t="s">
        <v>29</v>
      </c>
      <c r="F36" s="10" t="s">
        <v>143</v>
      </c>
      <c r="G36" s="10">
        <v>42201215</v>
      </c>
      <c r="H36" s="10" t="s">
        <v>144</v>
      </c>
      <c r="I36" s="10" t="s">
        <v>145</v>
      </c>
      <c r="J36" s="10">
        <v>38</v>
      </c>
      <c r="K36" s="10">
        <v>1</v>
      </c>
      <c r="L36" s="10" t="s">
        <v>146</v>
      </c>
      <c r="M36" s="5"/>
      <c r="N36" s="5"/>
      <c r="O36" s="7"/>
      <c r="P36" s="5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39"/>
      <c r="B37" s="11">
        <v>46067</v>
      </c>
      <c r="C37" s="8" t="s">
        <v>147</v>
      </c>
      <c r="D37" s="8" t="s">
        <v>131</v>
      </c>
      <c r="E37" s="8" t="s">
        <v>78</v>
      </c>
      <c r="F37" s="8" t="s">
        <v>148</v>
      </c>
      <c r="G37" s="8">
        <v>48018426</v>
      </c>
      <c r="H37" s="8" t="s">
        <v>149</v>
      </c>
      <c r="I37" s="8">
        <v>48433479</v>
      </c>
      <c r="J37" s="8">
        <v>31</v>
      </c>
      <c r="K37" s="8">
        <v>1</v>
      </c>
      <c r="L37" s="8" t="s">
        <v>22</v>
      </c>
      <c r="M37" s="5"/>
      <c r="N37" s="5"/>
      <c r="O37" s="5"/>
      <c r="P37" s="5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39"/>
      <c r="B38" s="11">
        <v>46067</v>
      </c>
      <c r="C38" s="8" t="s">
        <v>150</v>
      </c>
      <c r="D38" s="8" t="s">
        <v>52</v>
      </c>
      <c r="E38" s="8" t="s">
        <v>47</v>
      </c>
      <c r="F38" s="8" t="s">
        <v>151</v>
      </c>
      <c r="G38" s="8">
        <v>73728484</v>
      </c>
      <c r="H38" s="8" t="s">
        <v>152</v>
      </c>
      <c r="I38" s="8" t="s">
        <v>153</v>
      </c>
      <c r="J38" s="8">
        <v>49</v>
      </c>
      <c r="K38" s="8">
        <v>1</v>
      </c>
      <c r="L38" s="8" t="s">
        <v>50</v>
      </c>
      <c r="M38" s="5"/>
      <c r="N38" s="5"/>
      <c r="O38" s="7"/>
      <c r="P38" s="5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39"/>
      <c r="B39" s="11">
        <v>46067</v>
      </c>
      <c r="C39" s="8">
        <v>18.25</v>
      </c>
      <c r="D39" s="8" t="s">
        <v>131</v>
      </c>
      <c r="E39" s="8" t="s">
        <v>154</v>
      </c>
      <c r="F39" s="8" t="s">
        <v>155</v>
      </c>
      <c r="G39" s="8">
        <v>73509544</v>
      </c>
      <c r="H39" s="8" t="s">
        <v>156</v>
      </c>
      <c r="I39" s="8">
        <v>42865910</v>
      </c>
      <c r="J39" s="8">
        <v>44</v>
      </c>
      <c r="K39" s="8">
        <v>1</v>
      </c>
      <c r="L39" s="8" t="s">
        <v>22</v>
      </c>
      <c r="M39" s="5"/>
      <c r="N39" s="5"/>
      <c r="O39" s="7"/>
      <c r="P39" s="5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39"/>
      <c r="B40" s="11">
        <v>46067</v>
      </c>
      <c r="C40" s="8">
        <v>20.58</v>
      </c>
      <c r="D40" s="8" t="s">
        <v>131</v>
      </c>
      <c r="E40" s="8" t="s">
        <v>78</v>
      </c>
      <c r="F40" s="8" t="s">
        <v>157</v>
      </c>
      <c r="G40" s="8">
        <v>73209440</v>
      </c>
      <c r="H40" s="8" t="s">
        <v>158</v>
      </c>
      <c r="I40" s="8">
        <v>80580541</v>
      </c>
      <c r="J40" s="8">
        <v>53</v>
      </c>
      <c r="K40" s="8">
        <v>1</v>
      </c>
      <c r="L40" s="8" t="s">
        <v>22</v>
      </c>
      <c r="M40" s="5"/>
      <c r="N40" s="5"/>
      <c r="O40" s="7"/>
      <c r="P40" s="5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39"/>
      <c r="B41" s="11">
        <v>46067</v>
      </c>
      <c r="C41" s="12"/>
      <c r="D41" s="8" t="s">
        <v>159</v>
      </c>
      <c r="E41" s="8" t="s">
        <v>73</v>
      </c>
      <c r="F41" s="8" t="s">
        <v>160</v>
      </c>
      <c r="G41" s="8">
        <v>16683500</v>
      </c>
      <c r="H41" s="8" t="s">
        <v>161</v>
      </c>
      <c r="I41" s="8" t="s">
        <v>162</v>
      </c>
      <c r="J41" s="8">
        <v>34</v>
      </c>
      <c r="K41" s="8">
        <v>1</v>
      </c>
      <c r="L41" s="8" t="s">
        <v>163</v>
      </c>
      <c r="M41" s="5"/>
      <c r="N41" s="5"/>
      <c r="O41" s="7"/>
      <c r="P41" s="5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0.75" customHeight="1" x14ac:dyDescent="0.2">
      <c r="A42" s="41" t="s">
        <v>164</v>
      </c>
      <c r="B42" s="7">
        <v>46062</v>
      </c>
      <c r="C42" s="5" t="s">
        <v>86</v>
      </c>
      <c r="D42" s="5" t="s">
        <v>165</v>
      </c>
      <c r="E42" s="5" t="s">
        <v>74</v>
      </c>
      <c r="F42" s="5" t="s">
        <v>166</v>
      </c>
      <c r="G42" s="5">
        <v>70429477</v>
      </c>
      <c r="H42" s="5" t="s">
        <v>167</v>
      </c>
      <c r="I42" s="5">
        <v>75114170</v>
      </c>
      <c r="J42" s="5">
        <v>23</v>
      </c>
      <c r="K42" s="5">
        <v>1</v>
      </c>
      <c r="L42" s="5" t="s">
        <v>168</v>
      </c>
      <c r="M42" s="5"/>
      <c r="N42" s="5"/>
      <c r="O42" s="7"/>
      <c r="P42" s="5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39"/>
      <c r="B43" s="7">
        <v>46063</v>
      </c>
      <c r="C43" s="5" t="s">
        <v>169</v>
      </c>
      <c r="D43" s="5" t="s">
        <v>170</v>
      </c>
      <c r="E43" s="5" t="s">
        <v>171</v>
      </c>
      <c r="F43" s="5" t="s">
        <v>172</v>
      </c>
      <c r="G43" s="5">
        <v>45198169</v>
      </c>
      <c r="H43" s="5" t="s">
        <v>173</v>
      </c>
      <c r="I43" s="5">
        <v>16774928</v>
      </c>
      <c r="J43" s="5">
        <v>72</v>
      </c>
      <c r="K43" s="5">
        <v>1</v>
      </c>
      <c r="L43" s="5" t="s">
        <v>56</v>
      </c>
      <c r="M43" s="5"/>
      <c r="N43" s="5"/>
      <c r="O43" s="7"/>
      <c r="P43" s="5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39"/>
      <c r="B44" s="7">
        <v>46064</v>
      </c>
      <c r="C44" s="5" t="s">
        <v>174</v>
      </c>
      <c r="D44" s="5" t="s">
        <v>175</v>
      </c>
      <c r="E44" s="5" t="s">
        <v>47</v>
      </c>
      <c r="F44" s="5" t="s">
        <v>176</v>
      </c>
      <c r="G44" s="5">
        <v>73728484</v>
      </c>
      <c r="H44" s="5" t="s">
        <v>177</v>
      </c>
      <c r="I44" s="5" t="s">
        <v>178</v>
      </c>
      <c r="J44" s="5">
        <v>51</v>
      </c>
      <c r="K44" s="5">
        <v>1</v>
      </c>
      <c r="L44" s="5" t="s">
        <v>22</v>
      </c>
      <c r="M44" s="5"/>
      <c r="N44" s="5"/>
      <c r="O44" s="7"/>
      <c r="P44" s="5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39"/>
      <c r="B45" s="42" t="s">
        <v>179</v>
      </c>
      <c r="C45" s="42" t="s">
        <v>180</v>
      </c>
      <c r="D45" s="42" t="s">
        <v>181</v>
      </c>
      <c r="E45" s="42" t="s">
        <v>29</v>
      </c>
      <c r="F45" s="42" t="s">
        <v>182</v>
      </c>
      <c r="G45" s="42">
        <v>46792416</v>
      </c>
      <c r="H45" s="8" t="s">
        <v>183</v>
      </c>
      <c r="I45" s="8" t="s">
        <v>184</v>
      </c>
      <c r="J45" s="8">
        <v>65</v>
      </c>
      <c r="K45" s="42">
        <v>2</v>
      </c>
      <c r="L45" s="42" t="s">
        <v>126</v>
      </c>
      <c r="M45" s="5"/>
      <c r="N45" s="5"/>
      <c r="O45" s="7"/>
      <c r="P45" s="5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39"/>
      <c r="B46" s="39"/>
      <c r="C46" s="39"/>
      <c r="D46" s="39"/>
      <c r="E46" s="39"/>
      <c r="F46" s="39"/>
      <c r="G46" s="39"/>
      <c r="H46" s="8" t="s">
        <v>185</v>
      </c>
      <c r="I46" s="8">
        <v>76643425</v>
      </c>
      <c r="J46" s="8">
        <v>23</v>
      </c>
      <c r="K46" s="39"/>
      <c r="L46" s="39"/>
      <c r="M46" s="5"/>
      <c r="N46" s="5"/>
      <c r="O46" s="7"/>
      <c r="P46" s="5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39"/>
      <c r="B47" s="43">
        <v>46066</v>
      </c>
      <c r="C47" s="42" t="s">
        <v>186</v>
      </c>
      <c r="D47" s="42" t="s">
        <v>78</v>
      </c>
      <c r="E47" s="42" t="s">
        <v>47</v>
      </c>
      <c r="F47" s="42" t="s">
        <v>187</v>
      </c>
      <c r="G47" s="42">
        <v>45624770</v>
      </c>
      <c r="H47" s="8" t="s">
        <v>188</v>
      </c>
      <c r="I47" s="8">
        <v>45386739</v>
      </c>
      <c r="J47" s="8">
        <v>39</v>
      </c>
      <c r="K47" s="42">
        <v>2</v>
      </c>
      <c r="L47" s="42" t="s">
        <v>56</v>
      </c>
      <c r="M47" s="5"/>
      <c r="N47" s="5"/>
      <c r="O47" s="7"/>
      <c r="P47" s="5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39"/>
      <c r="B48" s="39"/>
      <c r="C48" s="39"/>
      <c r="D48" s="39"/>
      <c r="E48" s="39"/>
      <c r="F48" s="39"/>
      <c r="G48" s="39"/>
      <c r="H48" s="8" t="s">
        <v>189</v>
      </c>
      <c r="I48" s="8">
        <v>73905191</v>
      </c>
      <c r="J48" s="8">
        <v>27</v>
      </c>
      <c r="K48" s="39"/>
      <c r="L48" s="39"/>
      <c r="M48" s="5"/>
      <c r="N48" s="5"/>
      <c r="O48" s="7"/>
      <c r="P48" s="5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39"/>
      <c r="B49" s="11">
        <v>46066</v>
      </c>
      <c r="C49" s="8">
        <v>21.1</v>
      </c>
      <c r="D49" s="8" t="s">
        <v>190</v>
      </c>
      <c r="E49" s="8" t="s">
        <v>34</v>
      </c>
      <c r="F49" s="8" t="s">
        <v>191</v>
      </c>
      <c r="G49" s="8">
        <v>72015641</v>
      </c>
      <c r="H49" s="8" t="s">
        <v>192</v>
      </c>
      <c r="I49" s="8">
        <v>42782339</v>
      </c>
      <c r="J49" s="8">
        <v>41</v>
      </c>
      <c r="K49" s="8">
        <v>1</v>
      </c>
      <c r="L49" s="8" t="s">
        <v>22</v>
      </c>
      <c r="M49" s="5"/>
      <c r="N49" s="5"/>
      <c r="O49" s="7"/>
      <c r="P49" s="5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39"/>
      <c r="B50" s="43">
        <v>46067</v>
      </c>
      <c r="C50" s="42">
        <v>18.45</v>
      </c>
      <c r="D50" s="42" t="s">
        <v>193</v>
      </c>
      <c r="E50" s="42" t="s">
        <v>34</v>
      </c>
      <c r="F50" s="42" t="s">
        <v>191</v>
      </c>
      <c r="G50" s="42">
        <v>72015641</v>
      </c>
      <c r="H50" s="8" t="s">
        <v>194</v>
      </c>
      <c r="I50" s="8">
        <v>72443933</v>
      </c>
      <c r="J50" s="8">
        <v>26</v>
      </c>
      <c r="K50" s="42">
        <v>2</v>
      </c>
      <c r="L50" s="42" t="s">
        <v>56</v>
      </c>
      <c r="M50" s="5"/>
      <c r="N50" s="5"/>
      <c r="O50" s="7"/>
      <c r="P50" s="5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39"/>
      <c r="B51" s="39"/>
      <c r="C51" s="39"/>
      <c r="D51" s="39"/>
      <c r="E51" s="39"/>
      <c r="F51" s="39"/>
      <c r="G51" s="39"/>
      <c r="H51" s="8" t="s">
        <v>195</v>
      </c>
      <c r="I51" s="8">
        <v>75422052</v>
      </c>
      <c r="J51" s="8">
        <v>27</v>
      </c>
      <c r="K51" s="39"/>
      <c r="L51" s="39"/>
      <c r="M51" s="5"/>
      <c r="N51" s="5"/>
      <c r="O51" s="7"/>
      <c r="P51" s="5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39"/>
      <c r="B52" s="11">
        <v>46067</v>
      </c>
      <c r="C52" s="8">
        <v>23.3</v>
      </c>
      <c r="D52" s="8" t="s">
        <v>98</v>
      </c>
      <c r="E52" s="8" t="s">
        <v>47</v>
      </c>
      <c r="F52" s="8" t="s">
        <v>196</v>
      </c>
      <c r="G52" s="8">
        <v>70587081</v>
      </c>
      <c r="H52" s="8" t="s">
        <v>197</v>
      </c>
      <c r="I52" s="8">
        <v>42309067</v>
      </c>
      <c r="J52" s="8">
        <v>42</v>
      </c>
      <c r="K52" s="8">
        <v>1</v>
      </c>
      <c r="L52" s="8" t="s">
        <v>56</v>
      </c>
      <c r="M52" s="5"/>
      <c r="N52" s="5"/>
      <c r="O52" s="7"/>
      <c r="P52" s="5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39"/>
      <c r="B53" s="11">
        <v>46068</v>
      </c>
      <c r="C53" s="12"/>
      <c r="D53" s="8" t="s">
        <v>198</v>
      </c>
      <c r="E53" s="8" t="s">
        <v>34</v>
      </c>
      <c r="F53" s="8" t="s">
        <v>199</v>
      </c>
      <c r="G53" s="8">
        <v>70055643</v>
      </c>
      <c r="H53" s="8" t="s">
        <v>200</v>
      </c>
      <c r="I53" s="8">
        <v>75370059</v>
      </c>
      <c r="J53" s="8">
        <v>26</v>
      </c>
      <c r="K53" s="8">
        <v>1</v>
      </c>
      <c r="L53" s="8" t="s">
        <v>138</v>
      </c>
      <c r="M53" s="5"/>
      <c r="N53" s="5"/>
      <c r="O53" s="7"/>
      <c r="P53" s="5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39"/>
      <c r="B54" s="11">
        <v>46068</v>
      </c>
      <c r="C54" s="8">
        <v>23.5</v>
      </c>
      <c r="D54" s="8" t="s">
        <v>201</v>
      </c>
      <c r="E54" s="8" t="s">
        <v>47</v>
      </c>
      <c r="F54" s="8" t="s">
        <v>202</v>
      </c>
      <c r="G54" s="8">
        <v>72888956</v>
      </c>
      <c r="H54" s="8" t="s">
        <v>203</v>
      </c>
      <c r="I54" s="8">
        <v>70499571</v>
      </c>
      <c r="J54" s="8">
        <v>24</v>
      </c>
      <c r="K54" s="8">
        <v>1</v>
      </c>
      <c r="L54" s="8" t="s">
        <v>22</v>
      </c>
      <c r="M54" s="5"/>
      <c r="N54" s="5"/>
      <c r="O54" s="7"/>
      <c r="P54" s="5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39"/>
      <c r="B55" s="11">
        <v>46068</v>
      </c>
      <c r="C55" s="8">
        <v>23.15</v>
      </c>
      <c r="D55" s="8" t="s">
        <v>204</v>
      </c>
      <c r="E55" s="8" t="s">
        <v>205</v>
      </c>
      <c r="F55" s="8"/>
      <c r="G55" s="8">
        <v>73324661</v>
      </c>
      <c r="H55" s="8" t="s">
        <v>206</v>
      </c>
      <c r="I55" s="8">
        <v>75434008</v>
      </c>
      <c r="J55" s="8">
        <v>20</v>
      </c>
      <c r="K55" s="8">
        <v>1</v>
      </c>
      <c r="L55" s="8" t="s">
        <v>138</v>
      </c>
      <c r="M55" s="5"/>
      <c r="N55" s="5"/>
      <c r="O55" s="7"/>
      <c r="P55" s="5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39"/>
      <c r="B56" s="43">
        <v>46069</v>
      </c>
      <c r="C56" s="42" t="s">
        <v>207</v>
      </c>
      <c r="D56" s="42" t="s">
        <v>208</v>
      </c>
      <c r="E56" s="42" t="s">
        <v>73</v>
      </c>
      <c r="F56" s="42" t="s">
        <v>209</v>
      </c>
      <c r="G56" s="42">
        <v>74450840</v>
      </c>
      <c r="H56" s="8" t="s">
        <v>210</v>
      </c>
      <c r="I56" s="8">
        <v>44475917</v>
      </c>
      <c r="J56" s="8">
        <v>40</v>
      </c>
      <c r="K56" s="42">
        <v>2</v>
      </c>
      <c r="L56" s="42" t="s">
        <v>138</v>
      </c>
      <c r="M56" s="5"/>
      <c r="N56" s="5"/>
      <c r="O56" s="7"/>
      <c r="P56" s="5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39"/>
      <c r="B57" s="39"/>
      <c r="C57" s="39"/>
      <c r="D57" s="39"/>
      <c r="E57" s="39"/>
      <c r="F57" s="39"/>
      <c r="G57" s="39"/>
      <c r="H57" s="8" t="s">
        <v>211</v>
      </c>
      <c r="I57" s="8">
        <v>45682963</v>
      </c>
      <c r="J57" s="8">
        <v>37</v>
      </c>
      <c r="K57" s="39"/>
      <c r="L57" s="39"/>
      <c r="M57" s="5"/>
      <c r="N57" s="5"/>
      <c r="O57" s="7"/>
      <c r="P57" s="5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48.75" customHeight="1" x14ac:dyDescent="0.2">
      <c r="A58" s="44" t="s">
        <v>212</v>
      </c>
      <c r="B58" s="4">
        <v>46062</v>
      </c>
      <c r="C58" s="8" t="s">
        <v>213</v>
      </c>
      <c r="D58" s="8" t="s">
        <v>214</v>
      </c>
      <c r="E58" s="8" t="s">
        <v>18</v>
      </c>
      <c r="F58" s="8" t="s">
        <v>19</v>
      </c>
      <c r="G58" s="8"/>
      <c r="H58" s="8" t="s">
        <v>215</v>
      </c>
      <c r="I58" s="8">
        <v>42424742</v>
      </c>
      <c r="J58" s="8">
        <v>41</v>
      </c>
      <c r="K58" s="8">
        <v>1</v>
      </c>
      <c r="L58" s="5" t="s">
        <v>22</v>
      </c>
      <c r="M58" s="5"/>
      <c r="N58" s="5"/>
      <c r="O58" s="7"/>
      <c r="P58" s="5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39"/>
      <c r="B59" s="7">
        <v>46063</v>
      </c>
      <c r="C59" s="5" t="s">
        <v>122</v>
      </c>
      <c r="D59" s="5" t="s">
        <v>216</v>
      </c>
      <c r="E59" s="5" t="s">
        <v>217</v>
      </c>
      <c r="F59" s="5" t="s">
        <v>218</v>
      </c>
      <c r="G59" s="5">
        <v>48503538</v>
      </c>
      <c r="H59" s="5" t="s">
        <v>219</v>
      </c>
      <c r="I59" s="5">
        <v>48713559</v>
      </c>
      <c r="J59" s="5">
        <v>30</v>
      </c>
      <c r="K59" s="5">
        <v>1</v>
      </c>
      <c r="L59" s="5" t="s">
        <v>220</v>
      </c>
      <c r="M59" s="5"/>
      <c r="N59" s="5"/>
      <c r="O59" s="7"/>
      <c r="P59" s="5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39"/>
      <c r="B60" s="7">
        <v>46064</v>
      </c>
      <c r="C60" s="5" t="s">
        <v>40</v>
      </c>
      <c r="D60" s="5" t="s">
        <v>221</v>
      </c>
      <c r="E60" s="5" t="s">
        <v>47</v>
      </c>
      <c r="F60" s="5" t="s">
        <v>222</v>
      </c>
      <c r="G60" s="5">
        <v>45624770</v>
      </c>
      <c r="H60" s="5" t="s">
        <v>223</v>
      </c>
      <c r="I60" s="5">
        <v>41243161</v>
      </c>
      <c r="J60" s="5">
        <v>45</v>
      </c>
      <c r="K60" s="5">
        <v>1</v>
      </c>
      <c r="L60" s="5" t="s">
        <v>56</v>
      </c>
      <c r="M60" s="5"/>
      <c r="N60" s="5"/>
      <c r="O60" s="7"/>
      <c r="P60" s="5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39"/>
      <c r="B61" s="43">
        <v>46064</v>
      </c>
      <c r="C61" s="42" t="s">
        <v>224</v>
      </c>
      <c r="D61" s="42" t="s">
        <v>225</v>
      </c>
      <c r="E61" s="42" t="s">
        <v>73</v>
      </c>
      <c r="F61" s="42" t="s">
        <v>226</v>
      </c>
      <c r="G61" s="42"/>
      <c r="H61" s="10" t="s">
        <v>227</v>
      </c>
      <c r="I61" s="8"/>
      <c r="J61" s="8"/>
      <c r="K61" s="42">
        <v>2</v>
      </c>
      <c r="L61" s="42" t="s">
        <v>228</v>
      </c>
      <c r="M61" s="5"/>
      <c r="N61" s="5"/>
      <c r="O61" s="7"/>
      <c r="P61" s="5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39"/>
      <c r="B62" s="39"/>
      <c r="C62" s="39"/>
      <c r="D62" s="39"/>
      <c r="E62" s="39"/>
      <c r="F62" s="39"/>
      <c r="G62" s="39"/>
      <c r="H62" s="8" t="s">
        <v>229</v>
      </c>
      <c r="I62" s="8"/>
      <c r="J62" s="8"/>
      <c r="K62" s="39"/>
      <c r="L62" s="39"/>
      <c r="M62" s="5"/>
      <c r="N62" s="5"/>
      <c r="O62" s="7"/>
      <c r="P62" s="5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39"/>
      <c r="B63" s="11">
        <v>46065</v>
      </c>
      <c r="C63" s="8" t="s">
        <v>86</v>
      </c>
      <c r="D63" s="8" t="s">
        <v>230</v>
      </c>
      <c r="E63" s="8" t="s">
        <v>231</v>
      </c>
      <c r="F63" s="8" t="s">
        <v>232</v>
      </c>
      <c r="G63" s="8">
        <v>46352476</v>
      </c>
      <c r="H63" s="8" t="s">
        <v>233</v>
      </c>
      <c r="I63" s="8">
        <v>76281876</v>
      </c>
      <c r="J63" s="8">
        <v>30</v>
      </c>
      <c r="K63" s="8">
        <v>1</v>
      </c>
      <c r="L63" s="8" t="s">
        <v>126</v>
      </c>
      <c r="M63" s="5"/>
      <c r="N63" s="5"/>
      <c r="O63" s="7"/>
      <c r="P63" s="5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39"/>
      <c r="B64" s="43">
        <v>46066</v>
      </c>
      <c r="C64" s="42" t="s">
        <v>234</v>
      </c>
      <c r="D64" s="42" t="s">
        <v>235</v>
      </c>
      <c r="E64" s="42" t="s">
        <v>34</v>
      </c>
      <c r="F64" s="42" t="s">
        <v>236</v>
      </c>
      <c r="G64" s="42">
        <v>60573179</v>
      </c>
      <c r="H64" s="8" t="s">
        <v>237</v>
      </c>
      <c r="I64" s="8">
        <v>71862274</v>
      </c>
      <c r="J64" s="8">
        <v>23</v>
      </c>
      <c r="K64" s="42">
        <v>2</v>
      </c>
      <c r="L64" s="42" t="s">
        <v>50</v>
      </c>
      <c r="M64" s="5"/>
      <c r="N64" s="5"/>
      <c r="O64" s="7"/>
      <c r="P64" s="5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39"/>
      <c r="B65" s="39"/>
      <c r="C65" s="39"/>
      <c r="D65" s="39"/>
      <c r="E65" s="39"/>
      <c r="F65" s="39"/>
      <c r="G65" s="39"/>
      <c r="H65" s="8" t="s">
        <v>238</v>
      </c>
      <c r="I65" s="8">
        <v>44907716</v>
      </c>
      <c r="J65" s="8">
        <v>38</v>
      </c>
      <c r="K65" s="39"/>
      <c r="L65" s="39"/>
      <c r="M65" s="5"/>
      <c r="N65" s="5"/>
      <c r="O65" s="7"/>
      <c r="P65" s="5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39"/>
      <c r="B66" s="11">
        <v>46066</v>
      </c>
      <c r="C66" s="8" t="s">
        <v>239</v>
      </c>
      <c r="D66" s="8" t="s">
        <v>240</v>
      </c>
      <c r="E66" s="8" t="s">
        <v>240</v>
      </c>
      <c r="F66" s="8" t="s">
        <v>241</v>
      </c>
      <c r="G66" s="8"/>
      <c r="H66" s="8" t="s">
        <v>242</v>
      </c>
      <c r="I66" s="8">
        <v>73713457</v>
      </c>
      <c r="J66" s="8">
        <v>29</v>
      </c>
      <c r="K66" s="8">
        <v>1</v>
      </c>
      <c r="L66" s="8" t="s">
        <v>126</v>
      </c>
      <c r="M66" s="5"/>
      <c r="N66" s="5"/>
      <c r="O66" s="7"/>
      <c r="P66" s="5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39"/>
      <c r="B67" s="11">
        <v>46067</v>
      </c>
      <c r="C67" s="8" t="s">
        <v>243</v>
      </c>
      <c r="D67" s="8" t="s">
        <v>244</v>
      </c>
      <c r="E67" s="8" t="s">
        <v>78</v>
      </c>
      <c r="F67" s="8" t="s">
        <v>245</v>
      </c>
      <c r="G67" s="8">
        <v>47649331</v>
      </c>
      <c r="H67" s="8" t="s">
        <v>246</v>
      </c>
      <c r="I67" s="8">
        <v>62613636</v>
      </c>
      <c r="J67" s="8">
        <v>22</v>
      </c>
      <c r="K67" s="8">
        <v>1</v>
      </c>
      <c r="L67" s="8" t="s">
        <v>138</v>
      </c>
      <c r="M67" s="5"/>
      <c r="N67" s="5"/>
      <c r="O67" s="7"/>
      <c r="P67" s="5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39"/>
      <c r="B68" s="11">
        <v>46067</v>
      </c>
      <c r="C68" s="8" t="s">
        <v>247</v>
      </c>
      <c r="D68" s="8" t="s">
        <v>248</v>
      </c>
      <c r="E68" s="8" t="s">
        <v>18</v>
      </c>
      <c r="F68" s="8" t="s">
        <v>249</v>
      </c>
      <c r="G68" s="8">
        <v>75448165</v>
      </c>
      <c r="H68" s="8" t="s">
        <v>250</v>
      </c>
      <c r="I68" s="8">
        <v>43714726</v>
      </c>
      <c r="J68" s="8">
        <v>39</v>
      </c>
      <c r="K68" s="8">
        <v>1</v>
      </c>
      <c r="L68" s="8" t="s">
        <v>22</v>
      </c>
      <c r="M68" s="5"/>
      <c r="N68" s="5"/>
      <c r="O68" s="7"/>
      <c r="P68" s="5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39"/>
      <c r="B69" s="11">
        <v>46068</v>
      </c>
      <c r="C69" s="8" t="s">
        <v>94</v>
      </c>
      <c r="D69" s="8" t="s">
        <v>251</v>
      </c>
      <c r="E69" s="8" t="s">
        <v>73</v>
      </c>
      <c r="F69" s="8" t="s">
        <v>252</v>
      </c>
      <c r="G69" s="8">
        <v>46447819</v>
      </c>
      <c r="H69" s="8" t="s">
        <v>253</v>
      </c>
      <c r="I69" s="8">
        <v>48336756</v>
      </c>
      <c r="J69" s="8">
        <v>31</v>
      </c>
      <c r="K69" s="8">
        <v>1</v>
      </c>
      <c r="L69" s="8" t="s">
        <v>22</v>
      </c>
      <c r="M69" s="5"/>
      <c r="N69" s="5"/>
      <c r="O69" s="7"/>
      <c r="P69" s="5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39"/>
      <c r="B70" s="11">
        <v>46067</v>
      </c>
      <c r="C70" s="8">
        <v>23</v>
      </c>
      <c r="D70" s="8" t="s">
        <v>254</v>
      </c>
      <c r="E70" s="8" t="s">
        <v>255</v>
      </c>
      <c r="F70" s="8" t="s">
        <v>256</v>
      </c>
      <c r="G70" s="8">
        <v>447293536</v>
      </c>
      <c r="H70" s="8" t="s">
        <v>257</v>
      </c>
      <c r="I70" s="8">
        <v>43534699</v>
      </c>
      <c r="J70" s="8">
        <v>40</v>
      </c>
      <c r="K70" s="8">
        <v>1</v>
      </c>
      <c r="L70" s="8" t="s">
        <v>22</v>
      </c>
      <c r="M70" s="5"/>
      <c r="N70" s="5"/>
      <c r="O70" s="7"/>
      <c r="P70" s="5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1">
        <f>SUM(K3:K70)</f>
        <v>68</v>
      </c>
      <c r="L71" s="5"/>
      <c r="M71" s="5"/>
      <c r="N71" s="5"/>
      <c r="O71" s="5"/>
      <c r="P71" s="5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.75" customHeight="1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5.75" customHeight="1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5.75" customHeight="1" x14ac:dyDescent="0.2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5.75" customHeight="1" x14ac:dyDescent="0.2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5.75" customHeight="1" x14ac:dyDescent="0.2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5.75" customHeight="1" x14ac:dyDescent="0.2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5.75" customHeight="1" x14ac:dyDescent="0.2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5.75" customHeight="1" x14ac:dyDescent="0.2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5.75" customHeight="1" x14ac:dyDescent="0.2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spans="1:26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spans="1:26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spans="1:26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spans="1:26" x14ac:dyDescent="0.25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spans="1:26" x14ac:dyDescent="0.2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spans="1:26" x14ac:dyDescent="0.25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spans="1:26" x14ac:dyDescent="0.25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spans="1:26" x14ac:dyDescent="0.25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spans="1:26" x14ac:dyDescent="0.25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spans="1:26" x14ac:dyDescent="0.25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spans="1:26" x14ac:dyDescent="0.25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spans="1:26" x14ac:dyDescent="0.25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spans="1:26" x14ac:dyDescent="0.25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spans="1:26" x14ac:dyDescent="0.25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spans="1:26" x14ac:dyDescent="0.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spans="1:26" x14ac:dyDescent="0.25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spans="1:26" x14ac:dyDescent="0.25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spans="1:26" x14ac:dyDescent="0.25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spans="1:26" x14ac:dyDescent="0.25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spans="1:26" x14ac:dyDescent="0.25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spans="1:26" x14ac:dyDescent="0.25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spans="1:26" x14ac:dyDescent="0.25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spans="1:26" x14ac:dyDescent="0.25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spans="1:26" x14ac:dyDescent="0.25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spans="1:26" x14ac:dyDescent="0.2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spans="1:26" x14ac:dyDescent="0.25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spans="1:26" x14ac:dyDescent="0.25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spans="1:26" x14ac:dyDescent="0.25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spans="1:26" x14ac:dyDescent="0.25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spans="1:26" x14ac:dyDescent="0.25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spans="1:26" x14ac:dyDescent="0.25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spans="1:26" x14ac:dyDescent="0.25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</sheetData>
  <autoFilter ref="A1:P71" xr:uid="{00000000-0009-0000-0000-000000000000}"/>
  <mergeCells count="68">
    <mergeCell ref="K64:K65"/>
    <mergeCell ref="L64:L65"/>
    <mergeCell ref="K47:K48"/>
    <mergeCell ref="K50:K51"/>
    <mergeCell ref="L50:L51"/>
    <mergeCell ref="K56:K57"/>
    <mergeCell ref="L56:L57"/>
    <mergeCell ref="K61:K62"/>
    <mergeCell ref="L61:L62"/>
    <mergeCell ref="G50:G51"/>
    <mergeCell ref="K27:K28"/>
    <mergeCell ref="L27:L28"/>
    <mergeCell ref="K30:K31"/>
    <mergeCell ref="L30:L31"/>
    <mergeCell ref="K45:K46"/>
    <mergeCell ref="L45:L46"/>
    <mergeCell ref="L47:L48"/>
    <mergeCell ref="C47:C48"/>
    <mergeCell ref="D47:D48"/>
    <mergeCell ref="E47:E48"/>
    <mergeCell ref="F47:F48"/>
    <mergeCell ref="G47:G48"/>
    <mergeCell ref="E50:E51"/>
    <mergeCell ref="F50:F51"/>
    <mergeCell ref="C56:C57"/>
    <mergeCell ref="D56:D57"/>
    <mergeCell ref="E56:E57"/>
    <mergeCell ref="F56:F57"/>
    <mergeCell ref="C50:C51"/>
    <mergeCell ref="D50:D51"/>
    <mergeCell ref="C45:C46"/>
    <mergeCell ref="D45:D46"/>
    <mergeCell ref="E45:E46"/>
    <mergeCell ref="F45:F46"/>
    <mergeCell ref="G45:G46"/>
    <mergeCell ref="G27:G28"/>
    <mergeCell ref="A30:A41"/>
    <mergeCell ref="G30:G31"/>
    <mergeCell ref="C30:C31"/>
    <mergeCell ref="D30:D31"/>
    <mergeCell ref="E30:E31"/>
    <mergeCell ref="F30:F31"/>
    <mergeCell ref="A2:A28"/>
    <mergeCell ref="C27:C28"/>
    <mergeCell ref="D27:D28"/>
    <mergeCell ref="E27:E28"/>
    <mergeCell ref="F27:F28"/>
    <mergeCell ref="F64:F65"/>
    <mergeCell ref="G64:G65"/>
    <mergeCell ref="B56:B57"/>
    <mergeCell ref="B61:B62"/>
    <mergeCell ref="C61:C62"/>
    <mergeCell ref="D61:D62"/>
    <mergeCell ref="E61:E62"/>
    <mergeCell ref="F61:F62"/>
    <mergeCell ref="G61:G62"/>
    <mergeCell ref="G56:G57"/>
    <mergeCell ref="A58:A70"/>
    <mergeCell ref="B64:B65"/>
    <mergeCell ref="C64:C65"/>
    <mergeCell ref="D64:D65"/>
    <mergeCell ref="E64:E65"/>
    <mergeCell ref="B27:B28"/>
    <mergeCell ref="B30:B31"/>
    <mergeCell ref="A42:A57"/>
    <mergeCell ref="B45:B46"/>
    <mergeCell ref="B47:B48"/>
    <mergeCell ref="B50:B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28"/>
  <sheetViews>
    <sheetView workbookViewId="0"/>
  </sheetViews>
  <sheetFormatPr baseColWidth="10" defaultColWidth="12.625" defaultRowHeight="15" customHeight="1" x14ac:dyDescent="0.2"/>
  <cols>
    <col min="1" max="1" width="11.75" customWidth="1"/>
    <col min="2" max="2" width="15.25" customWidth="1"/>
    <col min="3" max="3" width="9.625" customWidth="1"/>
    <col min="4" max="4" width="21.875" customWidth="1"/>
    <col min="5" max="5" width="20.25" customWidth="1"/>
    <col min="6" max="6" width="30.25" customWidth="1"/>
    <col min="7" max="7" width="16.75" customWidth="1"/>
    <col min="8" max="8" width="35.625" customWidth="1"/>
    <col min="9" max="9" width="13" customWidth="1"/>
    <col min="10" max="10" width="6.125" customWidth="1"/>
    <col min="11" max="11" width="13.375" customWidth="1"/>
    <col min="12" max="12" width="36.375" customWidth="1"/>
    <col min="13" max="13" width="12.875" customWidth="1"/>
    <col min="14" max="14" width="15.125" customWidth="1"/>
    <col min="15" max="15" width="12.75" customWidth="1"/>
    <col min="16" max="16" width="9.25" customWidth="1"/>
    <col min="17" max="26" width="8.625" customWidth="1"/>
  </cols>
  <sheetData>
    <row r="1" spans="1:26" ht="45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">
      <c r="A2" s="71" t="s">
        <v>16</v>
      </c>
      <c r="B2" s="15">
        <v>46020</v>
      </c>
      <c r="C2" s="16">
        <v>0.35416666666666669</v>
      </c>
      <c r="D2" s="17" t="s">
        <v>258</v>
      </c>
      <c r="E2" s="17" t="s">
        <v>259</v>
      </c>
      <c r="F2" s="17" t="s">
        <v>260</v>
      </c>
      <c r="G2" s="17">
        <v>46835783</v>
      </c>
      <c r="H2" s="18" t="s">
        <v>261</v>
      </c>
      <c r="I2" s="18">
        <v>45147326</v>
      </c>
      <c r="J2" s="18">
        <v>38</v>
      </c>
      <c r="K2" s="18">
        <v>1</v>
      </c>
      <c r="L2" s="17" t="s">
        <v>262</v>
      </c>
      <c r="M2" s="17"/>
      <c r="N2" s="17"/>
      <c r="O2" s="19"/>
      <c r="P2" s="17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54"/>
      <c r="B3" s="65">
        <v>46020</v>
      </c>
      <c r="C3" s="72">
        <v>0.6875</v>
      </c>
      <c r="D3" s="69" t="s">
        <v>263</v>
      </c>
      <c r="E3" s="69" t="s">
        <v>59</v>
      </c>
      <c r="F3" s="69" t="s">
        <v>264</v>
      </c>
      <c r="G3" s="69">
        <v>77431584</v>
      </c>
      <c r="H3" s="8" t="s">
        <v>265</v>
      </c>
      <c r="I3" s="8">
        <v>76365361</v>
      </c>
      <c r="J3" s="8">
        <v>28</v>
      </c>
      <c r="K3" s="69">
        <v>2</v>
      </c>
      <c r="L3" s="69" t="s">
        <v>44</v>
      </c>
      <c r="M3" s="17"/>
      <c r="N3" s="17"/>
      <c r="O3" s="19"/>
      <c r="P3" s="17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51"/>
      <c r="B4" s="51"/>
      <c r="C4" s="70"/>
      <c r="D4" s="70"/>
      <c r="E4" s="70"/>
      <c r="F4" s="70"/>
      <c r="G4" s="70"/>
      <c r="H4" s="17" t="s">
        <v>266</v>
      </c>
      <c r="I4" s="17">
        <v>76910109</v>
      </c>
      <c r="J4" s="17">
        <v>27</v>
      </c>
      <c r="K4" s="70"/>
      <c r="L4" s="70"/>
      <c r="M4" s="17"/>
      <c r="N4" s="17"/>
      <c r="O4" s="19"/>
      <c r="P4" s="17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6.75" customHeight="1" x14ac:dyDescent="0.2">
      <c r="A5" s="53" t="s">
        <v>121</v>
      </c>
      <c r="B5" s="19">
        <v>46020</v>
      </c>
      <c r="C5" s="16">
        <v>0.4375</v>
      </c>
      <c r="D5" s="17" t="s">
        <v>267</v>
      </c>
      <c r="E5" s="17" t="s">
        <v>205</v>
      </c>
      <c r="F5" s="17" t="s">
        <v>268</v>
      </c>
      <c r="G5" s="17">
        <v>45491344</v>
      </c>
      <c r="H5" s="18" t="s">
        <v>269</v>
      </c>
      <c r="I5" s="18"/>
      <c r="J5" s="18">
        <v>19</v>
      </c>
      <c r="K5" s="18">
        <v>1</v>
      </c>
      <c r="L5" s="17" t="s">
        <v>270</v>
      </c>
      <c r="M5" s="17"/>
      <c r="N5" s="17"/>
      <c r="O5" s="19"/>
      <c r="P5" s="17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54"/>
      <c r="B6" s="19">
        <v>46020</v>
      </c>
      <c r="C6" s="16">
        <v>0.89583333333333337</v>
      </c>
      <c r="D6" s="17" t="s">
        <v>271</v>
      </c>
      <c r="E6" s="17" t="s">
        <v>73</v>
      </c>
      <c r="F6" s="17" t="s">
        <v>272</v>
      </c>
      <c r="G6" s="17">
        <v>75708234</v>
      </c>
      <c r="H6" s="17" t="s">
        <v>273</v>
      </c>
      <c r="I6" s="17" t="s">
        <v>274</v>
      </c>
      <c r="J6" s="17">
        <v>73</v>
      </c>
      <c r="K6" s="17">
        <v>1</v>
      </c>
      <c r="L6" s="17" t="s">
        <v>126</v>
      </c>
      <c r="M6" s="17"/>
      <c r="N6" s="17"/>
      <c r="O6" s="19"/>
      <c r="P6" s="17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54"/>
      <c r="B7" s="19">
        <v>46021</v>
      </c>
      <c r="C7" s="16">
        <v>0.77083333333333337</v>
      </c>
      <c r="D7" s="17" t="s">
        <v>275</v>
      </c>
      <c r="E7" s="17" t="s">
        <v>276</v>
      </c>
      <c r="F7" s="17" t="s">
        <v>277</v>
      </c>
      <c r="G7" s="17">
        <v>72015641</v>
      </c>
      <c r="H7" s="17" t="s">
        <v>278</v>
      </c>
      <c r="I7" s="17" t="s">
        <v>279</v>
      </c>
      <c r="J7" s="17">
        <v>73</v>
      </c>
      <c r="K7" s="17">
        <v>1</v>
      </c>
      <c r="L7" s="17" t="s">
        <v>126</v>
      </c>
      <c r="M7" s="17"/>
      <c r="N7" s="17"/>
      <c r="O7" s="19"/>
      <c r="P7" s="17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54"/>
      <c r="B8" s="19">
        <v>46021</v>
      </c>
      <c r="C8" s="16">
        <v>0.92013888888888884</v>
      </c>
      <c r="D8" s="17"/>
      <c r="E8" s="17" t="s">
        <v>73</v>
      </c>
      <c r="F8" s="17" t="s">
        <v>280</v>
      </c>
      <c r="G8" s="17">
        <v>77387080</v>
      </c>
      <c r="H8" s="17" t="s">
        <v>281</v>
      </c>
      <c r="I8" s="17"/>
      <c r="J8" s="17">
        <v>18</v>
      </c>
      <c r="K8" s="17">
        <v>1</v>
      </c>
      <c r="L8" s="17" t="s">
        <v>168</v>
      </c>
      <c r="M8" s="17"/>
      <c r="N8" s="17"/>
      <c r="O8" s="19"/>
      <c r="P8" s="17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54"/>
      <c r="B9" s="20">
        <v>46022</v>
      </c>
      <c r="C9" s="21">
        <v>0.5395833333333333</v>
      </c>
      <c r="D9" s="22" t="s">
        <v>78</v>
      </c>
      <c r="E9" s="22" t="s">
        <v>282</v>
      </c>
      <c r="F9" s="22" t="s">
        <v>283</v>
      </c>
      <c r="G9" s="22">
        <v>46826178</v>
      </c>
      <c r="H9" s="22" t="s">
        <v>284</v>
      </c>
      <c r="I9" s="22" t="s">
        <v>285</v>
      </c>
      <c r="J9" s="22">
        <v>51</v>
      </c>
      <c r="K9" s="22">
        <v>1</v>
      </c>
      <c r="L9" s="22" t="s">
        <v>126</v>
      </c>
      <c r="M9" s="17"/>
      <c r="N9" s="17"/>
      <c r="O9" s="19"/>
      <c r="P9" s="17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54"/>
      <c r="B10" s="20">
        <v>46023</v>
      </c>
      <c r="C10" s="21"/>
      <c r="D10" s="22" t="s">
        <v>34</v>
      </c>
      <c r="E10" s="22" t="s">
        <v>276</v>
      </c>
      <c r="F10" s="22" t="s">
        <v>286</v>
      </c>
      <c r="G10" s="22">
        <v>46097673</v>
      </c>
      <c r="H10" s="22" t="s">
        <v>287</v>
      </c>
      <c r="I10" s="22">
        <v>4298006</v>
      </c>
      <c r="J10" s="22"/>
      <c r="K10" s="22">
        <v>1</v>
      </c>
      <c r="L10" s="22"/>
      <c r="M10" s="17"/>
      <c r="N10" s="17"/>
      <c r="O10" s="19"/>
      <c r="P10" s="1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x14ac:dyDescent="0.2">
      <c r="A11" s="54"/>
      <c r="B11" s="20">
        <v>46023</v>
      </c>
      <c r="C11" s="21">
        <v>0.44791666666666669</v>
      </c>
      <c r="D11" s="22" t="s">
        <v>288</v>
      </c>
      <c r="E11" s="22" t="s">
        <v>289</v>
      </c>
      <c r="F11" s="22" t="s">
        <v>290</v>
      </c>
      <c r="G11" s="22">
        <v>44075189</v>
      </c>
      <c r="H11" s="22" t="s">
        <v>291</v>
      </c>
      <c r="I11" s="22">
        <v>80302560</v>
      </c>
      <c r="J11" s="22">
        <v>51</v>
      </c>
      <c r="K11" s="22">
        <v>1</v>
      </c>
      <c r="L11" s="22" t="s">
        <v>270</v>
      </c>
      <c r="M11" s="17"/>
      <c r="N11" s="17"/>
      <c r="O11" s="19"/>
      <c r="P11" s="17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54"/>
      <c r="B12" s="57">
        <v>46023</v>
      </c>
      <c r="C12" s="59">
        <v>19.05</v>
      </c>
      <c r="D12" s="59" t="s">
        <v>292</v>
      </c>
      <c r="E12" s="59" t="s">
        <v>293</v>
      </c>
      <c r="F12" s="59" t="s">
        <v>294</v>
      </c>
      <c r="G12" s="59">
        <v>75596592</v>
      </c>
      <c r="H12" s="22" t="s">
        <v>295</v>
      </c>
      <c r="I12" s="22">
        <v>72647622</v>
      </c>
      <c r="J12" s="22">
        <v>30</v>
      </c>
      <c r="K12" s="59">
        <v>2</v>
      </c>
      <c r="L12" s="59" t="s">
        <v>296</v>
      </c>
      <c r="M12" s="17"/>
      <c r="N12" s="17"/>
      <c r="O12" s="17"/>
      <c r="P12" s="17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54"/>
      <c r="B13" s="51"/>
      <c r="C13" s="51"/>
      <c r="D13" s="51"/>
      <c r="E13" s="51"/>
      <c r="F13" s="51"/>
      <c r="G13" s="51"/>
      <c r="H13" s="17" t="s">
        <v>297</v>
      </c>
      <c r="I13" s="17">
        <v>47659508</v>
      </c>
      <c r="J13" s="17">
        <v>32</v>
      </c>
      <c r="K13" s="51"/>
      <c r="L13" s="51"/>
      <c r="M13" s="17"/>
      <c r="N13" s="17"/>
      <c r="O13" s="19"/>
      <c r="P13" s="1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54"/>
      <c r="B14" s="20">
        <v>46024</v>
      </c>
      <c r="C14" s="21">
        <v>0.18055555555555555</v>
      </c>
      <c r="D14" s="22" t="s">
        <v>73</v>
      </c>
      <c r="E14" s="22" t="s">
        <v>298</v>
      </c>
      <c r="F14" s="22" t="s">
        <v>299</v>
      </c>
      <c r="G14" s="22">
        <v>71574789</v>
      </c>
      <c r="H14" s="22" t="s">
        <v>300</v>
      </c>
      <c r="I14" s="22" t="s">
        <v>301</v>
      </c>
      <c r="J14" s="22">
        <v>30</v>
      </c>
      <c r="K14" s="22">
        <v>1</v>
      </c>
      <c r="L14" s="22" t="s">
        <v>302</v>
      </c>
      <c r="M14" s="17"/>
      <c r="N14" s="17"/>
      <c r="O14" s="19"/>
      <c r="P14" s="1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54"/>
      <c r="B15" s="56">
        <v>46025</v>
      </c>
      <c r="C15" s="52">
        <v>0.3527777777777778</v>
      </c>
      <c r="D15" s="50"/>
      <c r="E15" s="50" t="s">
        <v>303</v>
      </c>
      <c r="F15" s="50" t="s">
        <v>304</v>
      </c>
      <c r="G15" s="50"/>
      <c r="H15" s="17" t="s">
        <v>305</v>
      </c>
      <c r="I15" s="17"/>
      <c r="J15" s="17"/>
      <c r="K15" s="50">
        <v>4</v>
      </c>
      <c r="L15" s="50" t="s">
        <v>302</v>
      </c>
      <c r="M15" s="17"/>
      <c r="N15" s="17"/>
      <c r="O15" s="19"/>
      <c r="P15" s="1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54"/>
      <c r="B16" s="54"/>
      <c r="C16" s="54"/>
      <c r="D16" s="54"/>
      <c r="E16" s="54"/>
      <c r="F16" s="54"/>
      <c r="G16" s="54"/>
      <c r="H16" s="17" t="s">
        <v>306</v>
      </c>
      <c r="I16" s="17"/>
      <c r="J16" s="17"/>
      <c r="K16" s="54"/>
      <c r="L16" s="54"/>
      <c r="M16" s="17"/>
      <c r="N16" s="17"/>
      <c r="O16" s="19"/>
      <c r="P16" s="1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54"/>
      <c r="B17" s="54"/>
      <c r="C17" s="54"/>
      <c r="D17" s="54"/>
      <c r="E17" s="54"/>
      <c r="F17" s="54"/>
      <c r="G17" s="54"/>
      <c r="H17" s="17" t="s">
        <v>307</v>
      </c>
      <c r="I17" s="17"/>
      <c r="J17" s="17"/>
      <c r="K17" s="54"/>
      <c r="L17" s="54"/>
      <c r="M17" s="17"/>
      <c r="N17" s="17"/>
      <c r="O17" s="19"/>
      <c r="P17" s="1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54"/>
      <c r="B18" s="51"/>
      <c r="C18" s="51"/>
      <c r="D18" s="51"/>
      <c r="E18" s="51"/>
      <c r="F18" s="51"/>
      <c r="G18" s="51"/>
      <c r="H18" s="17" t="s">
        <v>308</v>
      </c>
      <c r="I18" s="17"/>
      <c r="J18" s="17"/>
      <c r="K18" s="51"/>
      <c r="L18" s="51"/>
      <c r="M18" s="17"/>
      <c r="N18" s="17"/>
      <c r="O18" s="19"/>
      <c r="P18" s="1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54"/>
      <c r="B19" s="20">
        <v>46025</v>
      </c>
      <c r="C19" s="21">
        <v>0.80555555555555558</v>
      </c>
      <c r="D19" s="20"/>
      <c r="E19" s="22" t="s">
        <v>59</v>
      </c>
      <c r="F19" s="22" t="s">
        <v>309</v>
      </c>
      <c r="G19" s="22"/>
      <c r="H19" s="22" t="s">
        <v>310</v>
      </c>
      <c r="I19" s="22"/>
      <c r="J19" s="22"/>
      <c r="K19" s="22">
        <v>1</v>
      </c>
      <c r="L19" s="22" t="s">
        <v>22</v>
      </c>
      <c r="M19" s="17"/>
      <c r="N19" s="17"/>
      <c r="O19" s="19"/>
      <c r="P19" s="1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54"/>
      <c r="B20" s="20">
        <v>46025</v>
      </c>
      <c r="C20" s="21">
        <v>0.94097222222222221</v>
      </c>
      <c r="D20" s="20"/>
      <c r="E20" s="22" t="s">
        <v>311</v>
      </c>
      <c r="F20" s="22" t="s">
        <v>312</v>
      </c>
      <c r="G20" s="22"/>
      <c r="H20" s="22" t="s">
        <v>313</v>
      </c>
      <c r="I20" s="22"/>
      <c r="J20" s="22"/>
      <c r="K20" s="22">
        <v>1</v>
      </c>
      <c r="L20" s="22" t="s">
        <v>22</v>
      </c>
      <c r="M20" s="17"/>
      <c r="N20" s="17"/>
      <c r="O20" s="19"/>
      <c r="P20" s="1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54"/>
      <c r="B21" s="20">
        <v>46025</v>
      </c>
      <c r="C21" s="21">
        <v>0.15416666666666667</v>
      </c>
      <c r="D21" s="20"/>
      <c r="E21" s="22" t="s">
        <v>314</v>
      </c>
      <c r="F21" s="22" t="s">
        <v>315</v>
      </c>
      <c r="G21" s="22"/>
      <c r="H21" s="22" t="s">
        <v>316</v>
      </c>
      <c r="I21" s="22"/>
      <c r="J21" s="22"/>
      <c r="K21" s="22">
        <v>1</v>
      </c>
      <c r="L21" s="22" t="s">
        <v>302</v>
      </c>
      <c r="M21" s="17"/>
      <c r="N21" s="17"/>
      <c r="O21" s="19"/>
      <c r="P21" s="1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54"/>
      <c r="B22" s="20">
        <v>46025</v>
      </c>
      <c r="C22" s="21">
        <v>0.2361111111111111</v>
      </c>
      <c r="D22" s="20"/>
      <c r="E22" s="22" t="s">
        <v>298</v>
      </c>
      <c r="F22" s="22" t="s">
        <v>317</v>
      </c>
      <c r="G22" s="22"/>
      <c r="H22" s="22" t="s">
        <v>318</v>
      </c>
      <c r="I22" s="22"/>
      <c r="J22" s="22"/>
      <c r="K22" s="22">
        <v>1</v>
      </c>
      <c r="L22" s="22" t="s">
        <v>44</v>
      </c>
      <c r="M22" s="17"/>
      <c r="N22" s="17"/>
      <c r="O22" s="19"/>
      <c r="P22" s="1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54"/>
      <c r="B23" s="57">
        <v>46025</v>
      </c>
      <c r="C23" s="58">
        <v>0.50694444444444442</v>
      </c>
      <c r="D23" s="57"/>
      <c r="E23" s="59" t="s">
        <v>311</v>
      </c>
      <c r="F23" s="59" t="s">
        <v>319</v>
      </c>
      <c r="G23" s="22"/>
      <c r="H23" s="22" t="s">
        <v>320</v>
      </c>
      <c r="I23" s="22"/>
      <c r="J23" s="22"/>
      <c r="K23" s="59">
        <v>2</v>
      </c>
      <c r="L23" s="22"/>
      <c r="M23" s="17"/>
      <c r="N23" s="17"/>
      <c r="O23" s="19"/>
      <c r="P23" s="17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54"/>
      <c r="B24" s="51"/>
      <c r="C24" s="51"/>
      <c r="D24" s="51"/>
      <c r="E24" s="51"/>
      <c r="F24" s="51"/>
      <c r="G24" s="22"/>
      <c r="H24" s="22" t="s">
        <v>321</v>
      </c>
      <c r="I24" s="22"/>
      <c r="J24" s="22"/>
      <c r="K24" s="51"/>
      <c r="L24" s="22" t="s">
        <v>126</v>
      </c>
      <c r="M24" s="17"/>
      <c r="N24" s="17"/>
      <c r="O24" s="19"/>
      <c r="P24" s="1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55"/>
      <c r="B25" s="20">
        <v>46025</v>
      </c>
      <c r="C25" s="21">
        <v>0.19236111111111112</v>
      </c>
      <c r="D25" s="20"/>
      <c r="E25" s="22" t="s">
        <v>59</v>
      </c>
      <c r="F25" s="22" t="s">
        <v>309</v>
      </c>
      <c r="G25" s="22"/>
      <c r="H25" s="22" t="s">
        <v>322</v>
      </c>
      <c r="I25" s="22"/>
      <c r="J25" s="22"/>
      <c r="K25" s="22">
        <v>1</v>
      </c>
      <c r="L25" s="22" t="s">
        <v>126</v>
      </c>
      <c r="M25" s="17"/>
      <c r="N25" s="17"/>
      <c r="O25" s="19"/>
      <c r="P25" s="1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.75" customHeight="1" x14ac:dyDescent="0.2">
      <c r="A26" s="66" t="s">
        <v>323</v>
      </c>
      <c r="B26" s="56">
        <v>46020</v>
      </c>
      <c r="C26" s="52">
        <v>0.47916666666666669</v>
      </c>
      <c r="D26" s="50" t="s">
        <v>324</v>
      </c>
      <c r="E26" s="50" t="s">
        <v>47</v>
      </c>
      <c r="F26" s="50" t="s">
        <v>325</v>
      </c>
      <c r="G26" s="50">
        <v>45624770</v>
      </c>
      <c r="H26" s="17" t="s">
        <v>326</v>
      </c>
      <c r="I26" s="17" t="s">
        <v>327</v>
      </c>
      <c r="J26" s="17">
        <v>51</v>
      </c>
      <c r="K26" s="50">
        <v>2</v>
      </c>
      <c r="L26" s="50" t="s">
        <v>126</v>
      </c>
      <c r="M26" s="17"/>
      <c r="N26" s="17"/>
      <c r="O26" s="19"/>
      <c r="P26" s="1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67"/>
      <c r="B27" s="51"/>
      <c r="C27" s="51"/>
      <c r="D27" s="51"/>
      <c r="E27" s="51"/>
      <c r="F27" s="51"/>
      <c r="G27" s="51"/>
      <c r="H27" s="17" t="s">
        <v>328</v>
      </c>
      <c r="I27" s="17">
        <v>61067819</v>
      </c>
      <c r="J27" s="17">
        <v>18</v>
      </c>
      <c r="K27" s="51"/>
      <c r="L27" s="51"/>
      <c r="M27" s="17"/>
      <c r="N27" s="17"/>
      <c r="O27" s="19"/>
      <c r="P27" s="1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67"/>
      <c r="B28" s="56">
        <v>46021</v>
      </c>
      <c r="C28" s="52">
        <v>0.67708333333333337</v>
      </c>
      <c r="D28" s="50" t="s">
        <v>329</v>
      </c>
      <c r="E28" s="50" t="s">
        <v>18</v>
      </c>
      <c r="F28" s="50" t="s">
        <v>330</v>
      </c>
      <c r="G28" s="50">
        <v>71301835</v>
      </c>
      <c r="H28" s="17" t="s">
        <v>331</v>
      </c>
      <c r="I28" s="17">
        <v>60693520</v>
      </c>
      <c r="J28" s="17">
        <v>20</v>
      </c>
      <c r="K28" s="50">
        <v>2</v>
      </c>
      <c r="L28" s="50" t="s">
        <v>126</v>
      </c>
      <c r="M28" s="17"/>
      <c r="N28" s="17"/>
      <c r="O28" s="19"/>
      <c r="P28" s="1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67"/>
      <c r="B29" s="51"/>
      <c r="C29" s="51"/>
      <c r="D29" s="51"/>
      <c r="E29" s="51"/>
      <c r="F29" s="51"/>
      <c r="G29" s="51"/>
      <c r="H29" s="17" t="s">
        <v>332</v>
      </c>
      <c r="I29" s="17">
        <v>45348768</v>
      </c>
      <c r="J29" s="17">
        <v>37</v>
      </c>
      <c r="K29" s="51"/>
      <c r="L29" s="51"/>
      <c r="M29" s="17"/>
      <c r="N29" s="17"/>
      <c r="O29" s="19"/>
      <c r="P29" s="1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67"/>
      <c r="B30" s="19">
        <v>46021</v>
      </c>
      <c r="C30" s="16">
        <v>0.89583333333333337</v>
      </c>
      <c r="D30" s="17" t="s">
        <v>333</v>
      </c>
      <c r="E30" s="17" t="s">
        <v>334</v>
      </c>
      <c r="F30" s="17" t="s">
        <v>280</v>
      </c>
      <c r="G30" s="17">
        <v>71065304</v>
      </c>
      <c r="H30" s="17" t="s">
        <v>335</v>
      </c>
      <c r="I30" s="17" t="s">
        <v>336</v>
      </c>
      <c r="J30" s="17">
        <v>20</v>
      </c>
      <c r="K30" s="17">
        <v>1</v>
      </c>
      <c r="L30" s="17" t="s">
        <v>126</v>
      </c>
      <c r="M30" s="17"/>
      <c r="N30" s="17"/>
      <c r="O30" s="19"/>
      <c r="P30" s="1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67"/>
      <c r="B31" s="20">
        <v>46022</v>
      </c>
      <c r="C31" s="21">
        <v>0.41666666666666669</v>
      </c>
      <c r="D31" s="22" t="s">
        <v>337</v>
      </c>
      <c r="E31" s="22" t="s">
        <v>338</v>
      </c>
      <c r="F31" s="22" t="s">
        <v>339</v>
      </c>
      <c r="G31" s="22">
        <v>73670809</v>
      </c>
      <c r="H31" s="22" t="s">
        <v>340</v>
      </c>
      <c r="I31" s="22" t="s">
        <v>285</v>
      </c>
      <c r="J31" s="22">
        <v>51</v>
      </c>
      <c r="K31" s="22">
        <v>1</v>
      </c>
      <c r="L31" s="22" t="s">
        <v>126</v>
      </c>
      <c r="M31" s="17"/>
      <c r="N31" s="17"/>
      <c r="O31" s="19"/>
      <c r="P31" s="1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67"/>
      <c r="B32" s="20">
        <v>46022</v>
      </c>
      <c r="C32" s="21">
        <v>0.58680555555555558</v>
      </c>
      <c r="D32" s="22" t="s">
        <v>78</v>
      </c>
      <c r="E32" s="22" t="s">
        <v>282</v>
      </c>
      <c r="F32" s="22" t="s">
        <v>341</v>
      </c>
      <c r="G32" s="22">
        <v>73342760</v>
      </c>
      <c r="H32" s="22" t="s">
        <v>342</v>
      </c>
      <c r="I32" s="22">
        <v>75119011</v>
      </c>
      <c r="J32" s="22">
        <v>23</v>
      </c>
      <c r="K32" s="22">
        <v>1</v>
      </c>
      <c r="L32" s="22" t="s">
        <v>262</v>
      </c>
      <c r="M32" s="17"/>
      <c r="N32" s="17"/>
      <c r="O32" s="19"/>
      <c r="P32" s="17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67"/>
      <c r="B33" s="20">
        <v>46023</v>
      </c>
      <c r="C33" s="21">
        <v>0.51388888888888884</v>
      </c>
      <c r="D33" s="20"/>
      <c r="E33" s="22" t="s">
        <v>343</v>
      </c>
      <c r="F33" s="22" t="s">
        <v>344</v>
      </c>
      <c r="G33" s="22">
        <v>75355642</v>
      </c>
      <c r="H33" s="22" t="s">
        <v>345</v>
      </c>
      <c r="I33" s="22" t="s">
        <v>346</v>
      </c>
      <c r="J33" s="22">
        <v>33</v>
      </c>
      <c r="K33" s="22">
        <v>1</v>
      </c>
      <c r="L33" s="22" t="s">
        <v>22</v>
      </c>
      <c r="M33" s="17"/>
      <c r="N33" s="17"/>
      <c r="O33" s="19"/>
      <c r="P33" s="17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67"/>
      <c r="B34" s="57">
        <v>46023</v>
      </c>
      <c r="C34" s="58">
        <v>0.93402777777777779</v>
      </c>
      <c r="D34" s="59" t="s">
        <v>347</v>
      </c>
      <c r="E34" s="59" t="s">
        <v>348</v>
      </c>
      <c r="F34" s="59" t="s">
        <v>290</v>
      </c>
      <c r="G34" s="59">
        <v>44075189</v>
      </c>
      <c r="H34" s="22" t="s">
        <v>349</v>
      </c>
      <c r="I34" s="22">
        <v>75680564</v>
      </c>
      <c r="J34" s="22">
        <v>19</v>
      </c>
      <c r="K34" s="59">
        <v>2</v>
      </c>
      <c r="L34" s="59" t="s">
        <v>350</v>
      </c>
      <c r="M34" s="17"/>
      <c r="N34" s="17"/>
      <c r="O34" s="19"/>
      <c r="P34" s="1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67"/>
      <c r="B35" s="51"/>
      <c r="C35" s="51"/>
      <c r="D35" s="51"/>
      <c r="E35" s="51"/>
      <c r="F35" s="51"/>
      <c r="G35" s="51"/>
      <c r="H35" s="17" t="s">
        <v>351</v>
      </c>
      <c r="I35" s="17">
        <v>75760255</v>
      </c>
      <c r="J35" s="17">
        <v>29</v>
      </c>
      <c r="K35" s="51"/>
      <c r="L35" s="51"/>
      <c r="M35" s="17"/>
      <c r="N35" s="17"/>
      <c r="O35" s="19"/>
      <c r="P35" s="1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67"/>
      <c r="B36" s="20">
        <v>46025</v>
      </c>
      <c r="C36" s="21">
        <v>0.28472222222222221</v>
      </c>
      <c r="D36" s="20"/>
      <c r="E36" s="22" t="s">
        <v>352</v>
      </c>
      <c r="F36" s="22" t="s">
        <v>353</v>
      </c>
      <c r="G36" s="22"/>
      <c r="H36" s="22" t="s">
        <v>354</v>
      </c>
      <c r="I36" s="22"/>
      <c r="J36" s="22"/>
      <c r="K36" s="22">
        <v>1</v>
      </c>
      <c r="L36" s="22" t="s">
        <v>44</v>
      </c>
      <c r="M36" s="17"/>
      <c r="N36" s="17"/>
      <c r="O36" s="19"/>
      <c r="P36" s="17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67"/>
      <c r="B37" s="20">
        <v>46025</v>
      </c>
      <c r="C37" s="21">
        <v>0.7319444444444444</v>
      </c>
      <c r="D37" s="20"/>
      <c r="E37" s="22" t="s">
        <v>352</v>
      </c>
      <c r="F37" s="22" t="s">
        <v>355</v>
      </c>
      <c r="G37" s="22"/>
      <c r="H37" s="22" t="s">
        <v>356</v>
      </c>
      <c r="I37" s="22"/>
      <c r="J37" s="22"/>
      <c r="K37" s="22">
        <v>1</v>
      </c>
      <c r="L37" s="22" t="s">
        <v>44</v>
      </c>
      <c r="M37" s="17"/>
      <c r="N37" s="17"/>
      <c r="O37" s="19"/>
      <c r="P37" s="1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67"/>
      <c r="B38" s="20">
        <v>46025</v>
      </c>
      <c r="C38" s="21">
        <v>0.47499999999999998</v>
      </c>
      <c r="D38" s="20"/>
      <c r="E38" s="22" t="s">
        <v>303</v>
      </c>
      <c r="F38" s="22" t="s">
        <v>357</v>
      </c>
      <c r="G38" s="22"/>
      <c r="H38" s="22" t="s">
        <v>358</v>
      </c>
      <c r="I38" s="22"/>
      <c r="J38" s="22"/>
      <c r="K38" s="22">
        <v>1</v>
      </c>
      <c r="L38" s="22" t="s">
        <v>126</v>
      </c>
      <c r="M38" s="17"/>
      <c r="N38" s="17"/>
      <c r="O38" s="19"/>
      <c r="P38" s="17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67"/>
      <c r="B39" s="60">
        <v>46025</v>
      </c>
      <c r="C39" s="73"/>
      <c r="D39" s="60"/>
      <c r="E39" s="61" t="s">
        <v>276</v>
      </c>
      <c r="F39" s="61" t="s">
        <v>359</v>
      </c>
      <c r="G39" s="61"/>
      <c r="H39" s="24" t="s">
        <v>360</v>
      </c>
      <c r="I39" s="22" t="s">
        <v>361</v>
      </c>
      <c r="J39" s="22"/>
      <c r="K39" s="59">
        <v>2</v>
      </c>
      <c r="L39" s="59" t="s">
        <v>126</v>
      </c>
      <c r="M39" s="17"/>
      <c r="N39" s="17"/>
      <c r="O39" s="19"/>
      <c r="P39" s="17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67"/>
      <c r="B40" s="51"/>
      <c r="C40" s="51"/>
      <c r="D40" s="51"/>
      <c r="E40" s="51"/>
      <c r="F40" s="51"/>
      <c r="G40" s="51"/>
      <c r="H40" s="24" t="s">
        <v>362</v>
      </c>
      <c r="I40" s="22" t="s">
        <v>363</v>
      </c>
      <c r="J40" s="22"/>
      <c r="K40" s="51"/>
      <c r="L40" s="51"/>
      <c r="M40" s="17"/>
      <c r="N40" s="17"/>
      <c r="O40" s="19"/>
      <c r="P40" s="17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68"/>
      <c r="B41" s="25">
        <v>46025</v>
      </c>
      <c r="C41" s="26"/>
      <c r="D41" s="24" t="s">
        <v>41</v>
      </c>
      <c r="E41" s="24" t="s">
        <v>303</v>
      </c>
      <c r="F41" s="24" t="s">
        <v>364</v>
      </c>
      <c r="G41" s="24"/>
      <c r="H41" s="24" t="s">
        <v>365</v>
      </c>
      <c r="I41" s="22">
        <v>71158361</v>
      </c>
      <c r="J41" s="22"/>
      <c r="K41" s="22">
        <v>1</v>
      </c>
      <c r="L41" s="22" t="s">
        <v>22</v>
      </c>
      <c r="M41" s="17"/>
      <c r="N41" s="17"/>
      <c r="O41" s="19"/>
      <c r="P41" s="17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48.75" customHeight="1" x14ac:dyDescent="0.2">
      <c r="A42" s="62" t="s">
        <v>212</v>
      </c>
      <c r="B42" s="15">
        <v>46020</v>
      </c>
      <c r="C42" s="16">
        <v>0.4375</v>
      </c>
      <c r="D42" s="17" t="s">
        <v>366</v>
      </c>
      <c r="E42" s="17" t="s">
        <v>171</v>
      </c>
      <c r="F42" s="17" t="s">
        <v>367</v>
      </c>
      <c r="G42" s="17">
        <v>70875326</v>
      </c>
      <c r="H42" s="17" t="s">
        <v>368</v>
      </c>
      <c r="I42" s="17">
        <v>76447436</v>
      </c>
      <c r="J42" s="17">
        <v>30</v>
      </c>
      <c r="K42" s="17">
        <v>1</v>
      </c>
      <c r="L42" s="8" t="s">
        <v>126</v>
      </c>
      <c r="M42" s="17"/>
      <c r="N42" s="17"/>
      <c r="O42" s="19"/>
      <c r="P42" s="17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63"/>
      <c r="B43" s="19">
        <v>46021</v>
      </c>
      <c r="C43" s="16">
        <v>0.88194444444444442</v>
      </c>
      <c r="D43" s="17" t="s">
        <v>369</v>
      </c>
      <c r="E43" s="17" t="s">
        <v>282</v>
      </c>
      <c r="F43" s="17" t="s">
        <v>370</v>
      </c>
      <c r="G43" s="17">
        <v>16692806</v>
      </c>
      <c r="H43" s="17" t="s">
        <v>371</v>
      </c>
      <c r="I43" s="17">
        <v>72781666</v>
      </c>
      <c r="J43" s="17">
        <v>23</v>
      </c>
      <c r="K43" s="17">
        <v>1</v>
      </c>
      <c r="L43" s="17" t="s">
        <v>44</v>
      </c>
      <c r="M43" s="17"/>
      <c r="N43" s="17"/>
      <c r="O43" s="19"/>
      <c r="P43" s="17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63"/>
      <c r="B44" s="56">
        <v>46022</v>
      </c>
      <c r="C44" s="52">
        <v>4.1666666666666664E-2</v>
      </c>
      <c r="D44" s="50"/>
      <c r="E44" s="50" t="s">
        <v>73</v>
      </c>
      <c r="F44" s="50"/>
      <c r="G44" s="50"/>
      <c r="H44" s="17" t="s">
        <v>372</v>
      </c>
      <c r="I44" s="17">
        <v>80426452</v>
      </c>
      <c r="J44" s="17">
        <v>46</v>
      </c>
      <c r="K44" s="50">
        <v>3</v>
      </c>
      <c r="L44" s="50" t="s">
        <v>302</v>
      </c>
      <c r="M44" s="17"/>
      <c r="N44" s="17"/>
      <c r="O44" s="19"/>
      <c r="P44" s="17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63"/>
      <c r="B45" s="54"/>
      <c r="C45" s="54"/>
      <c r="D45" s="54"/>
      <c r="E45" s="54"/>
      <c r="F45" s="54"/>
      <c r="G45" s="54"/>
      <c r="H45" s="17" t="s">
        <v>373</v>
      </c>
      <c r="I45" s="17">
        <v>7443458</v>
      </c>
      <c r="J45" s="17">
        <v>25</v>
      </c>
      <c r="K45" s="54"/>
      <c r="L45" s="54"/>
      <c r="M45" s="17"/>
      <c r="N45" s="17"/>
      <c r="O45" s="19"/>
      <c r="P45" s="17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63"/>
      <c r="B46" s="51"/>
      <c r="C46" s="51"/>
      <c r="D46" s="51"/>
      <c r="E46" s="51"/>
      <c r="F46" s="51"/>
      <c r="G46" s="51"/>
      <c r="H46" s="17" t="s">
        <v>374</v>
      </c>
      <c r="I46" s="17">
        <v>76181780</v>
      </c>
      <c r="J46" s="17">
        <v>31</v>
      </c>
      <c r="K46" s="51"/>
      <c r="L46" s="51"/>
      <c r="M46" s="17"/>
      <c r="N46" s="17"/>
      <c r="O46" s="19"/>
      <c r="P46" s="17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63"/>
      <c r="B47" s="20">
        <v>46022</v>
      </c>
      <c r="C47" s="21">
        <v>0.5625</v>
      </c>
      <c r="D47" s="22" t="s">
        <v>73</v>
      </c>
      <c r="E47" s="22" t="s">
        <v>343</v>
      </c>
      <c r="F47" s="22" t="s">
        <v>375</v>
      </c>
      <c r="G47" s="22">
        <v>48346769</v>
      </c>
      <c r="H47" s="22" t="s">
        <v>376</v>
      </c>
      <c r="I47" s="22">
        <v>41701960</v>
      </c>
      <c r="J47" s="22">
        <v>44</v>
      </c>
      <c r="K47" s="22">
        <v>1</v>
      </c>
      <c r="L47" s="22" t="s">
        <v>126</v>
      </c>
      <c r="M47" s="17"/>
      <c r="N47" s="17"/>
      <c r="O47" s="19"/>
      <c r="P47" s="17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63"/>
      <c r="B48" s="20">
        <v>46023</v>
      </c>
      <c r="C48" s="21">
        <v>0.42916666666666664</v>
      </c>
      <c r="D48" s="22" t="s">
        <v>377</v>
      </c>
      <c r="E48" s="22" t="s">
        <v>282</v>
      </c>
      <c r="F48" s="22" t="s">
        <v>378</v>
      </c>
      <c r="G48" s="22">
        <v>76561052</v>
      </c>
      <c r="H48" s="22" t="s">
        <v>379</v>
      </c>
      <c r="I48" s="22">
        <v>42466405</v>
      </c>
      <c r="J48" s="22">
        <v>34</v>
      </c>
      <c r="K48" s="22">
        <v>1</v>
      </c>
      <c r="L48" s="22" t="s">
        <v>126</v>
      </c>
      <c r="M48" s="17"/>
      <c r="N48" s="17"/>
      <c r="O48" s="19"/>
      <c r="P48" s="17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63"/>
      <c r="B49" s="20">
        <v>46023</v>
      </c>
      <c r="C49" s="21">
        <v>0.375</v>
      </c>
      <c r="D49" s="22"/>
      <c r="E49" s="22" t="s">
        <v>311</v>
      </c>
      <c r="F49" s="22" t="s">
        <v>380</v>
      </c>
      <c r="G49" s="22"/>
      <c r="H49" s="22" t="s">
        <v>381</v>
      </c>
      <c r="I49" s="22" t="s">
        <v>382</v>
      </c>
      <c r="J49" s="22">
        <v>35</v>
      </c>
      <c r="K49" s="22">
        <v>1</v>
      </c>
      <c r="L49" s="22" t="s">
        <v>383</v>
      </c>
      <c r="M49" s="17"/>
      <c r="N49" s="17"/>
      <c r="O49" s="19"/>
      <c r="P49" s="17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63"/>
      <c r="B50" s="20">
        <v>46023</v>
      </c>
      <c r="C50" s="21">
        <v>0.90972222222222221</v>
      </c>
      <c r="D50" s="22" t="s">
        <v>384</v>
      </c>
      <c r="E50" s="22" t="s">
        <v>311</v>
      </c>
      <c r="F50" s="22"/>
      <c r="G50" s="22"/>
      <c r="H50" s="22" t="s">
        <v>385</v>
      </c>
      <c r="I50" s="22">
        <v>75606335</v>
      </c>
      <c r="J50" s="22">
        <v>27</v>
      </c>
      <c r="K50" s="22">
        <v>1</v>
      </c>
      <c r="L50" s="22" t="s">
        <v>126</v>
      </c>
      <c r="M50" s="17"/>
      <c r="N50" s="17"/>
      <c r="O50" s="19"/>
      <c r="P50" s="17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63"/>
      <c r="B51" s="20">
        <v>46024</v>
      </c>
      <c r="C51" s="21">
        <v>0.88611111111111107</v>
      </c>
      <c r="D51" s="20"/>
      <c r="E51" s="22" t="s">
        <v>386</v>
      </c>
      <c r="F51" s="22" t="s">
        <v>387</v>
      </c>
      <c r="G51" s="22"/>
      <c r="H51" s="22" t="s">
        <v>388</v>
      </c>
      <c r="I51" s="22">
        <v>48839191</v>
      </c>
      <c r="J51" s="22"/>
      <c r="K51" s="22">
        <v>1</v>
      </c>
      <c r="L51" s="22" t="s">
        <v>389</v>
      </c>
      <c r="M51" s="17"/>
      <c r="N51" s="17"/>
      <c r="O51" s="19"/>
      <c r="P51" s="17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63"/>
      <c r="B52" s="57">
        <v>46025</v>
      </c>
      <c r="C52" s="58">
        <v>0.47916666666666669</v>
      </c>
      <c r="D52" s="57"/>
      <c r="E52" s="59" t="s">
        <v>390</v>
      </c>
      <c r="F52" s="59" t="s">
        <v>391</v>
      </c>
      <c r="G52" s="59"/>
      <c r="H52" s="22" t="s">
        <v>392</v>
      </c>
      <c r="I52" s="22"/>
      <c r="J52" s="22"/>
      <c r="K52" s="59">
        <v>2</v>
      </c>
      <c r="L52" s="59" t="s">
        <v>393</v>
      </c>
      <c r="M52" s="17"/>
      <c r="N52" s="17"/>
      <c r="O52" s="19"/>
      <c r="P52" s="17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63"/>
      <c r="B53" s="51"/>
      <c r="C53" s="51"/>
      <c r="D53" s="51"/>
      <c r="E53" s="51"/>
      <c r="F53" s="51"/>
      <c r="G53" s="51"/>
      <c r="H53" s="17" t="s">
        <v>394</v>
      </c>
      <c r="I53" s="17"/>
      <c r="J53" s="17"/>
      <c r="K53" s="51"/>
      <c r="L53" s="51"/>
      <c r="M53" s="17"/>
      <c r="N53" s="17"/>
      <c r="O53" s="19"/>
      <c r="P53" s="17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63"/>
      <c r="B54" s="20">
        <v>46025</v>
      </c>
      <c r="C54" s="21">
        <v>0.75</v>
      </c>
      <c r="D54" s="20"/>
      <c r="E54" s="22" t="s">
        <v>338</v>
      </c>
      <c r="F54" s="22" t="s">
        <v>395</v>
      </c>
      <c r="G54" s="22"/>
      <c r="H54" s="22" t="s">
        <v>396</v>
      </c>
      <c r="I54" s="22"/>
      <c r="J54" s="22"/>
      <c r="K54" s="22">
        <v>1</v>
      </c>
      <c r="L54" s="22" t="s">
        <v>22</v>
      </c>
      <c r="M54" s="17"/>
      <c r="N54" s="17"/>
      <c r="O54" s="19"/>
      <c r="P54" s="17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63"/>
      <c r="B55" s="20">
        <v>46025</v>
      </c>
      <c r="C55" s="21">
        <v>1.0416666666666666E-2</v>
      </c>
      <c r="D55" s="20"/>
      <c r="E55" s="22" t="s">
        <v>338</v>
      </c>
      <c r="F55" s="22" t="s">
        <v>397</v>
      </c>
      <c r="G55" s="22"/>
      <c r="H55" s="22" t="s">
        <v>398</v>
      </c>
      <c r="I55" s="22"/>
      <c r="J55" s="22"/>
      <c r="K55" s="22">
        <v>1</v>
      </c>
      <c r="L55" s="22" t="s">
        <v>126</v>
      </c>
      <c r="M55" s="17"/>
      <c r="N55" s="17"/>
      <c r="O55" s="19"/>
      <c r="P55" s="17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64"/>
      <c r="B56" s="20">
        <v>46025</v>
      </c>
      <c r="C56" s="21">
        <v>8.3333333333333329E-2</v>
      </c>
      <c r="D56" s="20"/>
      <c r="E56" s="22" t="s">
        <v>59</v>
      </c>
      <c r="F56" s="22" t="s">
        <v>283</v>
      </c>
      <c r="G56" s="22"/>
      <c r="H56" s="22" t="s">
        <v>399</v>
      </c>
      <c r="I56" s="22"/>
      <c r="J56" s="22"/>
      <c r="K56" s="22">
        <v>1</v>
      </c>
      <c r="L56" s="22" t="s">
        <v>22</v>
      </c>
      <c r="M56" s="17"/>
      <c r="N56" s="17"/>
      <c r="O56" s="19"/>
      <c r="P56" s="17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1">
        <f>SUM(K2:K56)</f>
        <v>55</v>
      </c>
      <c r="L57" s="5"/>
      <c r="M57" s="5"/>
      <c r="N57" s="5"/>
      <c r="O57" s="5"/>
      <c r="P57" s="17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26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26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26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1:26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spans="1:26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spans="1:26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spans="1:26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spans="1:26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spans="1:26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spans="1:26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spans="1:26" x14ac:dyDescent="0.25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spans="1:26" x14ac:dyDescent="0.2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spans="1:26" x14ac:dyDescent="0.25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spans="1:26" x14ac:dyDescent="0.25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spans="1:26" x14ac:dyDescent="0.25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spans="1:26" x14ac:dyDescent="0.25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spans="1:26" x14ac:dyDescent="0.25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spans="1:26" x14ac:dyDescent="0.25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spans="1:26" x14ac:dyDescent="0.25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spans="1:26" x14ac:dyDescent="0.25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spans="1:26" x14ac:dyDescent="0.25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spans="1:26" x14ac:dyDescent="0.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spans="1:26" x14ac:dyDescent="0.25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spans="1:26" x14ac:dyDescent="0.25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spans="1:26" x14ac:dyDescent="0.25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</sheetData>
  <autoFilter ref="A1:P57" xr:uid="{00000000-0009-0000-0000-000001000000}"/>
  <mergeCells count="82">
    <mergeCell ref="K44:K46"/>
    <mergeCell ref="L44:L46"/>
    <mergeCell ref="K52:K53"/>
    <mergeCell ref="L52:L53"/>
    <mergeCell ref="K15:K18"/>
    <mergeCell ref="L15:L18"/>
    <mergeCell ref="K23:K24"/>
    <mergeCell ref="K26:K27"/>
    <mergeCell ref="L26:L27"/>
    <mergeCell ref="K28:K29"/>
    <mergeCell ref="L28:L29"/>
    <mergeCell ref="K34:K35"/>
    <mergeCell ref="L34:L35"/>
    <mergeCell ref="B39:B40"/>
    <mergeCell ref="C39:C40"/>
    <mergeCell ref="G39:G40"/>
    <mergeCell ref="K39:K40"/>
    <mergeCell ref="L39:L40"/>
    <mergeCell ref="F15:F18"/>
    <mergeCell ref="G15:G18"/>
    <mergeCell ref="D34:D35"/>
    <mergeCell ref="E34:E35"/>
    <mergeCell ref="F34:F35"/>
    <mergeCell ref="G34:G35"/>
    <mergeCell ref="C3:C4"/>
    <mergeCell ref="D3:D4"/>
    <mergeCell ref="E3:E4"/>
    <mergeCell ref="F3:F4"/>
    <mergeCell ref="G3:G4"/>
    <mergeCell ref="K3:K4"/>
    <mergeCell ref="L3:L4"/>
    <mergeCell ref="E12:E13"/>
    <mergeCell ref="F12:F13"/>
    <mergeCell ref="K12:K13"/>
    <mergeCell ref="L12:L13"/>
    <mergeCell ref="G12:G13"/>
    <mergeCell ref="B3:B4"/>
    <mergeCell ref="B12:B13"/>
    <mergeCell ref="A26:A41"/>
    <mergeCell ref="B26:B27"/>
    <mergeCell ref="B28:B29"/>
    <mergeCell ref="A2:A4"/>
    <mergeCell ref="G44:G46"/>
    <mergeCell ref="B34:B35"/>
    <mergeCell ref="B44:B46"/>
    <mergeCell ref="A42:A56"/>
    <mergeCell ref="B52:B53"/>
    <mergeCell ref="C52:C53"/>
    <mergeCell ref="D52:D53"/>
    <mergeCell ref="E52:E53"/>
    <mergeCell ref="F52:F53"/>
    <mergeCell ref="G52:G53"/>
    <mergeCell ref="C34:C35"/>
    <mergeCell ref="C44:C46"/>
    <mergeCell ref="D39:D40"/>
    <mergeCell ref="E39:E40"/>
    <mergeCell ref="F39:F40"/>
    <mergeCell ref="D44:D46"/>
    <mergeCell ref="E44:E46"/>
    <mergeCell ref="F44:F46"/>
    <mergeCell ref="G26:G27"/>
    <mergeCell ref="C28:C29"/>
    <mergeCell ref="D28:D29"/>
    <mergeCell ref="G28:G29"/>
    <mergeCell ref="A5:A25"/>
    <mergeCell ref="B15:B18"/>
    <mergeCell ref="B23:B24"/>
    <mergeCell ref="C23:C24"/>
    <mergeCell ref="D23:D24"/>
    <mergeCell ref="E23:E24"/>
    <mergeCell ref="F23:F24"/>
    <mergeCell ref="C12:C13"/>
    <mergeCell ref="D12:D13"/>
    <mergeCell ref="C15:C18"/>
    <mergeCell ref="D15:D18"/>
    <mergeCell ref="E15:E18"/>
    <mergeCell ref="E28:E29"/>
    <mergeCell ref="F28:F29"/>
    <mergeCell ref="C26:C27"/>
    <mergeCell ref="D26:D27"/>
    <mergeCell ref="E26:E27"/>
    <mergeCell ref="F26:F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65"/>
  <sheetViews>
    <sheetView workbookViewId="0"/>
  </sheetViews>
  <sheetFormatPr baseColWidth="10" defaultColWidth="12.625" defaultRowHeight="15" customHeight="1" x14ac:dyDescent="0.2"/>
  <cols>
    <col min="1" max="1" width="11.75" customWidth="1"/>
    <col min="2" max="2" width="15.25" customWidth="1"/>
    <col min="3" max="3" width="9.625" customWidth="1"/>
    <col min="4" max="4" width="21.875" customWidth="1"/>
    <col min="5" max="5" width="20.25" customWidth="1"/>
    <col min="6" max="6" width="30.25" customWidth="1"/>
    <col min="7" max="7" width="16.75" customWidth="1"/>
    <col min="8" max="8" width="35.625" customWidth="1"/>
    <col min="9" max="9" width="13" customWidth="1"/>
    <col min="10" max="10" width="6.125" customWidth="1"/>
    <col min="11" max="11" width="13.375" customWidth="1"/>
    <col min="12" max="12" width="36.375" customWidth="1"/>
    <col min="13" max="13" width="12.875" customWidth="1"/>
    <col min="14" max="14" width="15.125" customWidth="1"/>
    <col min="15" max="15" width="12.75" customWidth="1"/>
    <col min="16" max="16" width="9.25" customWidth="1"/>
    <col min="17" max="26" width="8.625" customWidth="1"/>
  </cols>
  <sheetData>
    <row r="1" spans="1:26" ht="45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">
      <c r="A2" s="71" t="s">
        <v>16</v>
      </c>
      <c r="B2" s="15">
        <v>46005</v>
      </c>
      <c r="C2" s="16">
        <v>0.94722222222222219</v>
      </c>
      <c r="D2" s="17"/>
      <c r="E2" s="17" t="s">
        <v>400</v>
      </c>
      <c r="F2" s="17" t="s">
        <v>401</v>
      </c>
      <c r="G2" s="17" t="s">
        <v>402</v>
      </c>
      <c r="H2" s="18" t="s">
        <v>403</v>
      </c>
      <c r="I2" s="18"/>
      <c r="J2" s="18"/>
      <c r="K2" s="18">
        <v>1</v>
      </c>
      <c r="L2" s="17" t="s">
        <v>22</v>
      </c>
      <c r="M2" s="17"/>
      <c r="N2" s="17"/>
      <c r="O2" s="19"/>
      <c r="P2" s="17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54"/>
      <c r="B3" s="19">
        <v>46004</v>
      </c>
      <c r="C3" s="17">
        <v>12.33</v>
      </c>
      <c r="D3" s="17"/>
      <c r="E3" s="17" t="s">
        <v>303</v>
      </c>
      <c r="F3" s="17" t="s">
        <v>404</v>
      </c>
      <c r="G3" s="17" t="s">
        <v>405</v>
      </c>
      <c r="H3" s="27" t="s">
        <v>406</v>
      </c>
      <c r="I3" s="27"/>
      <c r="J3" s="27"/>
      <c r="K3" s="18">
        <v>1</v>
      </c>
      <c r="L3" s="17" t="s">
        <v>22</v>
      </c>
      <c r="M3" s="17"/>
      <c r="N3" s="17"/>
      <c r="O3" s="19"/>
      <c r="P3" s="17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 x14ac:dyDescent="0.2">
      <c r="A4" s="54"/>
      <c r="B4" s="19">
        <v>46003</v>
      </c>
      <c r="C4" s="16">
        <v>0.41666666666666669</v>
      </c>
      <c r="D4" s="17"/>
      <c r="E4" s="17" t="s">
        <v>407</v>
      </c>
      <c r="F4" s="17" t="s">
        <v>408</v>
      </c>
      <c r="G4" s="17" t="s">
        <v>409</v>
      </c>
      <c r="H4" s="17" t="s">
        <v>410</v>
      </c>
      <c r="I4" s="17"/>
      <c r="J4" s="17"/>
      <c r="K4" s="17">
        <v>1</v>
      </c>
      <c r="L4" s="17" t="s">
        <v>411</v>
      </c>
      <c r="M4" s="17"/>
      <c r="N4" s="17"/>
      <c r="O4" s="19"/>
      <c r="P4" s="17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x14ac:dyDescent="0.2">
      <c r="A5" s="54"/>
      <c r="B5" s="19">
        <v>46002</v>
      </c>
      <c r="C5" s="16">
        <v>0.61805555555555558</v>
      </c>
      <c r="D5" s="17"/>
      <c r="E5" s="17" t="s">
        <v>407</v>
      </c>
      <c r="F5" s="17" t="s">
        <v>412</v>
      </c>
      <c r="G5" s="17" t="s">
        <v>413</v>
      </c>
      <c r="H5" s="17" t="s">
        <v>414</v>
      </c>
      <c r="I5" s="17"/>
      <c r="J5" s="17"/>
      <c r="K5" s="17">
        <v>1</v>
      </c>
      <c r="L5" s="17" t="s">
        <v>415</v>
      </c>
      <c r="M5" s="17"/>
      <c r="N5" s="17"/>
      <c r="O5" s="19"/>
      <c r="P5" s="17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x14ac:dyDescent="0.2">
      <c r="A6" s="54"/>
      <c r="B6" s="19">
        <v>46002</v>
      </c>
      <c r="C6" s="16">
        <v>0.52847222222222223</v>
      </c>
      <c r="D6" s="17"/>
      <c r="E6" s="17" t="s">
        <v>59</v>
      </c>
      <c r="F6" s="17" t="s">
        <v>416</v>
      </c>
      <c r="G6" s="17" t="s">
        <v>417</v>
      </c>
      <c r="H6" s="17" t="s">
        <v>418</v>
      </c>
      <c r="I6" s="17"/>
      <c r="J6" s="17"/>
      <c r="K6" s="17">
        <v>1</v>
      </c>
      <c r="L6" s="17" t="s">
        <v>419</v>
      </c>
      <c r="M6" s="17"/>
      <c r="N6" s="17"/>
      <c r="O6" s="19"/>
      <c r="P6" s="17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x14ac:dyDescent="0.2">
      <c r="A7" s="54"/>
      <c r="B7" s="19">
        <v>46002</v>
      </c>
      <c r="C7" s="16">
        <v>0.52847222222222223</v>
      </c>
      <c r="D7" s="17"/>
      <c r="E7" s="17" t="s">
        <v>59</v>
      </c>
      <c r="F7" s="17" t="s">
        <v>416</v>
      </c>
      <c r="G7" s="17" t="s">
        <v>417</v>
      </c>
      <c r="H7" s="17" t="s">
        <v>420</v>
      </c>
      <c r="I7" s="17"/>
      <c r="J7" s="17"/>
      <c r="K7" s="17">
        <v>1</v>
      </c>
      <c r="L7" s="17" t="s">
        <v>22</v>
      </c>
      <c r="M7" s="17"/>
      <c r="N7" s="17"/>
      <c r="O7" s="19"/>
      <c r="P7" s="17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x14ac:dyDescent="0.2">
      <c r="A8" s="51"/>
      <c r="B8" s="19">
        <v>46000</v>
      </c>
      <c r="C8" s="16">
        <v>0.38124999999999998</v>
      </c>
      <c r="D8" s="17"/>
      <c r="E8" s="17" t="s">
        <v>303</v>
      </c>
      <c r="F8" s="17" t="s">
        <v>421</v>
      </c>
      <c r="G8" s="17" t="s">
        <v>422</v>
      </c>
      <c r="H8" s="17" t="s">
        <v>423</v>
      </c>
      <c r="I8" s="17"/>
      <c r="J8" s="17"/>
      <c r="K8" s="17">
        <v>1</v>
      </c>
      <c r="L8" s="17" t="s">
        <v>22</v>
      </c>
      <c r="M8" s="17"/>
      <c r="N8" s="17"/>
      <c r="O8" s="19"/>
      <c r="P8" s="17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6.75" customHeight="1" x14ac:dyDescent="0.2">
      <c r="A9" s="53" t="s">
        <v>121</v>
      </c>
      <c r="B9" s="19">
        <v>46005</v>
      </c>
      <c r="C9" s="16">
        <v>0.90625</v>
      </c>
      <c r="D9" s="17"/>
      <c r="E9" s="17" t="s">
        <v>311</v>
      </c>
      <c r="F9" s="17" t="s">
        <v>424</v>
      </c>
      <c r="G9" s="17" t="s">
        <v>425</v>
      </c>
      <c r="H9" s="17" t="s">
        <v>426</v>
      </c>
      <c r="I9" s="17"/>
      <c r="J9" s="17"/>
      <c r="K9" s="17">
        <v>2</v>
      </c>
      <c r="L9" s="17" t="s">
        <v>302</v>
      </c>
      <c r="M9" s="17"/>
      <c r="N9" s="17"/>
      <c r="O9" s="19"/>
      <c r="P9" s="17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x14ac:dyDescent="0.2">
      <c r="A10" s="54"/>
      <c r="B10" s="19">
        <v>46005</v>
      </c>
      <c r="C10" s="16">
        <v>0.52430555555555558</v>
      </c>
      <c r="D10" s="17"/>
      <c r="E10" s="17" t="s">
        <v>427</v>
      </c>
      <c r="F10" s="17" t="s">
        <v>428</v>
      </c>
      <c r="G10" s="17" t="s">
        <v>429</v>
      </c>
      <c r="H10" s="17" t="s">
        <v>430</v>
      </c>
      <c r="I10" s="17"/>
      <c r="J10" s="17"/>
      <c r="K10" s="17">
        <v>1</v>
      </c>
      <c r="L10" s="17" t="s">
        <v>431</v>
      </c>
      <c r="M10" s="17"/>
      <c r="N10" s="17"/>
      <c r="O10" s="19"/>
      <c r="P10" s="1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x14ac:dyDescent="0.2">
      <c r="A11" s="54"/>
      <c r="B11" s="19">
        <v>46004</v>
      </c>
      <c r="C11" s="16">
        <v>0.40486111111111112</v>
      </c>
      <c r="D11" s="17"/>
      <c r="E11" s="17" t="s">
        <v>352</v>
      </c>
      <c r="F11" s="17" t="s">
        <v>432</v>
      </c>
      <c r="G11" s="17" t="s">
        <v>433</v>
      </c>
      <c r="H11" s="17" t="s">
        <v>434</v>
      </c>
      <c r="I11" s="17"/>
      <c r="J11" s="17"/>
      <c r="K11" s="17">
        <v>1</v>
      </c>
      <c r="L11" s="17" t="s">
        <v>22</v>
      </c>
      <c r="M11" s="17"/>
      <c r="N11" s="17"/>
      <c r="O11" s="19"/>
      <c r="P11" s="17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5" x14ac:dyDescent="0.2">
      <c r="A12" s="54"/>
      <c r="B12" s="19">
        <v>46002</v>
      </c>
      <c r="C12" s="16">
        <v>0.84722222222222221</v>
      </c>
      <c r="D12" s="17"/>
      <c r="E12" s="17" t="s">
        <v>400</v>
      </c>
      <c r="F12" s="17" t="s">
        <v>435</v>
      </c>
      <c r="G12" s="17" t="s">
        <v>436</v>
      </c>
      <c r="H12" s="17" t="s">
        <v>437</v>
      </c>
      <c r="I12" s="17"/>
      <c r="J12" s="17"/>
      <c r="K12" s="17">
        <v>3</v>
      </c>
      <c r="L12" s="17" t="s">
        <v>302</v>
      </c>
      <c r="M12" s="17"/>
      <c r="N12" s="17"/>
      <c r="O12" s="17"/>
      <c r="P12" s="17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54"/>
      <c r="B13" s="19">
        <v>46000</v>
      </c>
      <c r="C13" s="16">
        <v>0.87152777777777779</v>
      </c>
      <c r="D13" s="17"/>
      <c r="E13" s="17" t="s">
        <v>352</v>
      </c>
      <c r="F13" s="17" t="s">
        <v>438</v>
      </c>
      <c r="G13" s="17" t="s">
        <v>439</v>
      </c>
      <c r="H13" s="17" t="s">
        <v>440</v>
      </c>
      <c r="I13" s="17"/>
      <c r="J13" s="17"/>
      <c r="K13" s="17">
        <v>2</v>
      </c>
      <c r="L13" s="17" t="s">
        <v>441</v>
      </c>
      <c r="M13" s="17"/>
      <c r="N13" s="17"/>
      <c r="O13" s="19"/>
      <c r="P13" s="1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55"/>
      <c r="B14" s="19">
        <v>46000</v>
      </c>
      <c r="C14" s="16">
        <v>6.5972222222222224E-2</v>
      </c>
      <c r="D14" s="17"/>
      <c r="E14" s="17" t="s">
        <v>348</v>
      </c>
      <c r="F14" s="17" t="s">
        <v>442</v>
      </c>
      <c r="G14" s="17" t="s">
        <v>443</v>
      </c>
      <c r="H14" s="17" t="s">
        <v>444</v>
      </c>
      <c r="I14" s="17"/>
      <c r="J14" s="17"/>
      <c r="K14" s="17">
        <v>1</v>
      </c>
      <c r="L14" s="17" t="s">
        <v>22</v>
      </c>
      <c r="M14" s="17"/>
      <c r="N14" s="17"/>
      <c r="O14" s="19"/>
      <c r="P14" s="1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.75" customHeight="1" x14ac:dyDescent="0.2">
      <c r="A15" s="66" t="s">
        <v>323</v>
      </c>
      <c r="B15" s="19">
        <v>46006</v>
      </c>
      <c r="C15" s="16">
        <v>0.14444444444444443</v>
      </c>
      <c r="D15" s="17"/>
      <c r="E15" s="17" t="s">
        <v>445</v>
      </c>
      <c r="F15" s="17" t="s">
        <v>446</v>
      </c>
      <c r="G15" s="17" t="s">
        <v>447</v>
      </c>
      <c r="H15" s="17" t="s">
        <v>448</v>
      </c>
      <c r="I15" s="17"/>
      <c r="J15" s="17"/>
      <c r="K15" s="17">
        <v>1</v>
      </c>
      <c r="L15" s="17" t="s">
        <v>126</v>
      </c>
      <c r="M15" s="17"/>
      <c r="N15" s="17"/>
      <c r="O15" s="19"/>
      <c r="P15" s="1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67"/>
      <c r="B16" s="19">
        <v>46006</v>
      </c>
      <c r="C16" s="16">
        <v>0.51666666666666672</v>
      </c>
      <c r="D16" s="17"/>
      <c r="E16" s="17" t="s">
        <v>445</v>
      </c>
      <c r="F16" s="17" t="s">
        <v>446</v>
      </c>
      <c r="G16" s="17" t="s">
        <v>447</v>
      </c>
      <c r="H16" s="17" t="s">
        <v>449</v>
      </c>
      <c r="I16" s="17"/>
      <c r="J16" s="17"/>
      <c r="K16" s="17">
        <v>1</v>
      </c>
      <c r="L16" s="17" t="s">
        <v>126</v>
      </c>
      <c r="M16" s="17"/>
      <c r="N16" s="17"/>
      <c r="O16" s="19"/>
      <c r="P16" s="1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67"/>
      <c r="B17" s="19">
        <v>46005</v>
      </c>
      <c r="C17" s="16">
        <v>0.21249999999999999</v>
      </c>
      <c r="D17" s="17"/>
      <c r="E17" s="17" t="s">
        <v>450</v>
      </c>
      <c r="F17" s="17" t="s">
        <v>451</v>
      </c>
      <c r="G17" s="17" t="s">
        <v>452</v>
      </c>
      <c r="H17" s="17" t="s">
        <v>453</v>
      </c>
      <c r="I17" s="17"/>
      <c r="J17" s="17"/>
      <c r="K17" s="17">
        <v>1</v>
      </c>
      <c r="L17" s="17" t="s">
        <v>302</v>
      </c>
      <c r="M17" s="17"/>
      <c r="N17" s="17"/>
      <c r="O17" s="19"/>
      <c r="P17" s="1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67"/>
      <c r="B18" s="19">
        <v>46004</v>
      </c>
      <c r="C18" s="16">
        <v>6.3888888888888884E-2</v>
      </c>
      <c r="D18" s="17"/>
      <c r="E18" s="17" t="s">
        <v>400</v>
      </c>
      <c r="F18" s="17" t="s">
        <v>454</v>
      </c>
      <c r="G18" s="17" t="s">
        <v>455</v>
      </c>
      <c r="H18" s="17" t="s">
        <v>456</v>
      </c>
      <c r="I18" s="17"/>
      <c r="J18" s="17"/>
      <c r="K18" s="17">
        <v>1</v>
      </c>
      <c r="L18" s="17" t="s">
        <v>457</v>
      </c>
      <c r="M18" s="17"/>
      <c r="N18" s="17"/>
      <c r="O18" s="19"/>
      <c r="P18" s="1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67"/>
      <c r="B19" s="19">
        <v>46001</v>
      </c>
      <c r="C19" s="16">
        <v>0.87291666666666667</v>
      </c>
      <c r="D19" s="19"/>
      <c r="E19" s="17" t="s">
        <v>427</v>
      </c>
      <c r="F19" s="17" t="s">
        <v>428</v>
      </c>
      <c r="G19" s="17" t="s">
        <v>429</v>
      </c>
      <c r="H19" s="17" t="s">
        <v>458</v>
      </c>
      <c r="I19" s="17"/>
      <c r="J19" s="17"/>
      <c r="K19" s="17">
        <v>2</v>
      </c>
      <c r="L19" s="17" t="s">
        <v>126</v>
      </c>
      <c r="M19" s="17"/>
      <c r="N19" s="17"/>
      <c r="O19" s="19"/>
      <c r="P19" s="1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68"/>
      <c r="B20" s="19">
        <v>46000</v>
      </c>
      <c r="C20" s="16">
        <v>6.6666666666666666E-2</v>
      </c>
      <c r="D20" s="19"/>
      <c r="E20" s="17" t="s">
        <v>427</v>
      </c>
      <c r="F20" s="17" t="s">
        <v>459</v>
      </c>
      <c r="G20" s="17" t="s">
        <v>460</v>
      </c>
      <c r="H20" s="17" t="s">
        <v>461</v>
      </c>
      <c r="I20" s="17"/>
      <c r="J20" s="17"/>
      <c r="K20" s="17">
        <v>1</v>
      </c>
      <c r="L20" s="17" t="s">
        <v>126</v>
      </c>
      <c r="M20" s="17"/>
      <c r="N20" s="17"/>
      <c r="O20" s="19"/>
      <c r="P20" s="1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48.75" customHeight="1" x14ac:dyDescent="0.2">
      <c r="A21" s="62" t="s">
        <v>212</v>
      </c>
      <c r="B21" s="15">
        <v>46005</v>
      </c>
      <c r="C21" s="16">
        <v>0.83333333333333337</v>
      </c>
      <c r="D21" s="17"/>
      <c r="E21" s="17" t="s">
        <v>400</v>
      </c>
      <c r="F21" s="17" t="s">
        <v>462</v>
      </c>
      <c r="G21" s="17" t="s">
        <v>463</v>
      </c>
      <c r="H21" s="17" t="s">
        <v>464</v>
      </c>
      <c r="I21" s="17"/>
      <c r="J21" s="17"/>
      <c r="K21" s="17">
        <v>1</v>
      </c>
      <c r="L21" s="8" t="s">
        <v>457</v>
      </c>
      <c r="M21" s="17"/>
      <c r="N21" s="17"/>
      <c r="O21" s="19"/>
      <c r="P21" s="1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63"/>
      <c r="B22" s="19">
        <v>46005</v>
      </c>
      <c r="C22" s="16">
        <v>0.25138888888888888</v>
      </c>
      <c r="D22" s="17"/>
      <c r="E22" s="17" t="s">
        <v>352</v>
      </c>
      <c r="F22" s="17" t="s">
        <v>465</v>
      </c>
      <c r="G22" s="17" t="s">
        <v>433</v>
      </c>
      <c r="H22" s="17" t="s">
        <v>466</v>
      </c>
      <c r="I22" s="17"/>
      <c r="J22" s="17"/>
      <c r="K22" s="17">
        <v>2</v>
      </c>
      <c r="L22" s="17" t="s">
        <v>467</v>
      </c>
      <c r="M22" s="17"/>
      <c r="N22" s="17"/>
      <c r="O22" s="19"/>
      <c r="P22" s="1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63"/>
      <c r="B23" s="19">
        <v>46004</v>
      </c>
      <c r="C23" s="16">
        <v>0.82291666666666663</v>
      </c>
      <c r="D23" s="17"/>
      <c r="E23" s="17" t="s">
        <v>352</v>
      </c>
      <c r="F23" s="17" t="s">
        <v>468</v>
      </c>
      <c r="G23" s="17" t="s">
        <v>469</v>
      </c>
      <c r="H23" s="23" t="s">
        <v>470</v>
      </c>
      <c r="I23" s="23"/>
      <c r="J23" s="23"/>
      <c r="K23" s="17">
        <v>1</v>
      </c>
      <c r="L23" s="17" t="s">
        <v>467</v>
      </c>
      <c r="M23" s="28"/>
      <c r="N23" s="17"/>
      <c r="O23" s="19"/>
      <c r="P23" s="17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63"/>
      <c r="B24" s="29">
        <v>46004</v>
      </c>
      <c r="C24" s="30">
        <v>0.39583333333333331</v>
      </c>
      <c r="D24" s="29"/>
      <c r="E24" s="31" t="s">
        <v>450</v>
      </c>
      <c r="F24" s="31" t="s">
        <v>471</v>
      </c>
      <c r="G24" s="17" t="s">
        <v>472</v>
      </c>
      <c r="H24" s="17" t="s">
        <v>473</v>
      </c>
      <c r="I24" s="17"/>
      <c r="J24" s="17"/>
      <c r="K24" s="17">
        <v>1</v>
      </c>
      <c r="L24" s="17" t="s">
        <v>457</v>
      </c>
      <c r="M24" s="17"/>
      <c r="N24" s="17"/>
      <c r="O24" s="19"/>
      <c r="P24" s="1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63"/>
      <c r="B25" s="19">
        <v>46002</v>
      </c>
      <c r="C25" s="16">
        <v>0.47916666666666669</v>
      </c>
      <c r="D25" s="19"/>
      <c r="E25" s="17" t="s">
        <v>352</v>
      </c>
      <c r="F25" s="17" t="s">
        <v>474</v>
      </c>
      <c r="G25" s="17" t="s">
        <v>475</v>
      </c>
      <c r="H25" s="17" t="s">
        <v>476</v>
      </c>
      <c r="I25" s="17"/>
      <c r="J25" s="17"/>
      <c r="K25" s="17">
        <v>1</v>
      </c>
      <c r="L25" s="17" t="s">
        <v>457</v>
      </c>
      <c r="M25" s="17"/>
      <c r="N25" s="17"/>
      <c r="O25" s="19"/>
      <c r="P25" s="1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64"/>
      <c r="B26" s="19">
        <v>45999</v>
      </c>
      <c r="C26" s="16">
        <v>0.67361111111111116</v>
      </c>
      <c r="D26" s="17"/>
      <c r="E26" s="17" t="s">
        <v>427</v>
      </c>
      <c r="F26" s="17" t="s">
        <v>459</v>
      </c>
      <c r="G26" s="17" t="s">
        <v>460</v>
      </c>
      <c r="H26" s="17" t="s">
        <v>477</v>
      </c>
      <c r="I26" s="17"/>
      <c r="J26" s="17"/>
      <c r="K26" s="17">
        <v>1</v>
      </c>
      <c r="L26" s="17" t="s">
        <v>126</v>
      </c>
      <c r="M26" s="17"/>
      <c r="N26" s="17"/>
      <c r="O26" s="19"/>
      <c r="P26" s="1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1">
        <f>SUM(K2:K26)</f>
        <v>31</v>
      </c>
      <c r="L27" s="5"/>
      <c r="M27" s="5"/>
      <c r="N27" s="5"/>
      <c r="O27" s="5"/>
      <c r="P27" s="1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</sheetData>
  <mergeCells count="4">
    <mergeCell ref="A2:A8"/>
    <mergeCell ref="A9:A14"/>
    <mergeCell ref="A15:A20"/>
    <mergeCell ref="A21:A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67"/>
  <sheetViews>
    <sheetView workbookViewId="0"/>
  </sheetViews>
  <sheetFormatPr baseColWidth="10" defaultColWidth="12.625" defaultRowHeight="15" customHeight="1" x14ac:dyDescent="0.2"/>
  <cols>
    <col min="1" max="1" width="11.75" customWidth="1"/>
    <col min="2" max="2" width="15.25" customWidth="1"/>
    <col min="3" max="3" width="9.625" customWidth="1"/>
    <col min="4" max="4" width="21.875" customWidth="1"/>
    <col min="5" max="5" width="20.25" customWidth="1"/>
    <col min="6" max="6" width="30.25" customWidth="1"/>
    <col min="7" max="7" width="9.625" customWidth="1"/>
    <col min="8" max="8" width="35.625" customWidth="1"/>
    <col min="9" max="9" width="13" customWidth="1"/>
    <col min="10" max="10" width="6.125" customWidth="1"/>
    <col min="11" max="11" width="13.375" customWidth="1"/>
    <col min="12" max="12" width="27.625" customWidth="1"/>
    <col min="13" max="13" width="12.875" customWidth="1"/>
    <col min="14" max="14" width="15.125" customWidth="1"/>
    <col min="15" max="15" width="12.75" customWidth="1"/>
    <col min="16" max="16" width="9.25" customWidth="1"/>
    <col min="17" max="26" width="8.625" customWidth="1"/>
  </cols>
  <sheetData>
    <row r="1" spans="1:26" ht="45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">
      <c r="A2" s="71" t="s">
        <v>16</v>
      </c>
      <c r="B2" s="19">
        <v>45978</v>
      </c>
      <c r="C2" s="16">
        <v>0.57638888888888884</v>
      </c>
      <c r="D2" s="17" t="s">
        <v>478</v>
      </c>
      <c r="E2" s="17" t="s">
        <v>282</v>
      </c>
      <c r="F2" s="17" t="s">
        <v>479</v>
      </c>
      <c r="G2" s="17">
        <v>73143064</v>
      </c>
      <c r="H2" s="18" t="s">
        <v>480</v>
      </c>
      <c r="I2" s="18" t="s">
        <v>481</v>
      </c>
      <c r="J2" s="18">
        <v>35</v>
      </c>
      <c r="K2" s="17">
        <v>1</v>
      </c>
      <c r="L2" s="17" t="s">
        <v>44</v>
      </c>
      <c r="M2" s="17"/>
      <c r="N2" s="17"/>
      <c r="O2" s="19"/>
      <c r="P2" s="17">
        <v>1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x14ac:dyDescent="0.2">
      <c r="A3" s="54"/>
      <c r="B3" s="19">
        <v>45978</v>
      </c>
      <c r="C3" s="16">
        <v>0.81041666666666667</v>
      </c>
      <c r="D3" s="17" t="s">
        <v>482</v>
      </c>
      <c r="E3" s="17" t="s">
        <v>338</v>
      </c>
      <c r="F3" s="17" t="s">
        <v>483</v>
      </c>
      <c r="G3" s="17" t="s">
        <v>484</v>
      </c>
      <c r="H3" s="27" t="s">
        <v>485</v>
      </c>
      <c r="I3" s="27" t="s">
        <v>486</v>
      </c>
      <c r="J3" s="27">
        <v>38</v>
      </c>
      <c r="K3" s="17">
        <v>1</v>
      </c>
      <c r="L3" s="17" t="s">
        <v>22</v>
      </c>
      <c r="M3" s="17"/>
      <c r="N3" s="17"/>
      <c r="O3" s="19"/>
      <c r="P3" s="17">
        <v>2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 x14ac:dyDescent="0.2">
      <c r="A4" s="54"/>
      <c r="B4" s="19">
        <v>45978</v>
      </c>
      <c r="C4" s="16">
        <v>0.91388888888888886</v>
      </c>
      <c r="D4" s="17" t="s">
        <v>487</v>
      </c>
      <c r="E4" s="17" t="s">
        <v>400</v>
      </c>
      <c r="F4" s="17" t="s">
        <v>488</v>
      </c>
      <c r="G4" s="17">
        <v>73571217</v>
      </c>
      <c r="H4" s="17" t="s">
        <v>489</v>
      </c>
      <c r="I4" s="17" t="s">
        <v>490</v>
      </c>
      <c r="J4" s="17">
        <v>21</v>
      </c>
      <c r="K4" s="17">
        <v>1</v>
      </c>
      <c r="L4" s="17" t="s">
        <v>22</v>
      </c>
      <c r="M4" s="17"/>
      <c r="N4" s="17"/>
      <c r="O4" s="19"/>
      <c r="P4" s="17">
        <v>3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54"/>
      <c r="B5" s="19">
        <v>45980</v>
      </c>
      <c r="C5" s="16">
        <v>0.95763888888888893</v>
      </c>
      <c r="D5" s="17" t="s">
        <v>491</v>
      </c>
      <c r="E5" s="17" t="s">
        <v>400</v>
      </c>
      <c r="F5" s="17" t="s">
        <v>492</v>
      </c>
      <c r="G5" s="17">
        <v>75053321</v>
      </c>
      <c r="H5" s="17" t="s">
        <v>493</v>
      </c>
      <c r="I5" s="17" t="s">
        <v>494</v>
      </c>
      <c r="J5" s="17">
        <v>18</v>
      </c>
      <c r="K5" s="17">
        <v>1</v>
      </c>
      <c r="L5" s="17" t="s">
        <v>44</v>
      </c>
      <c r="M5" s="17"/>
      <c r="N5" s="17"/>
      <c r="O5" s="19"/>
      <c r="P5" s="17">
        <v>4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x14ac:dyDescent="0.2">
      <c r="A6" s="54"/>
      <c r="B6" s="19">
        <v>45981</v>
      </c>
      <c r="C6" s="16">
        <v>0.9</v>
      </c>
      <c r="D6" s="17" t="s">
        <v>495</v>
      </c>
      <c r="E6" s="17" t="s">
        <v>496</v>
      </c>
      <c r="F6" s="17" t="s">
        <v>497</v>
      </c>
      <c r="G6" s="17">
        <v>45065644</v>
      </c>
      <c r="H6" s="17" t="s">
        <v>498</v>
      </c>
      <c r="I6" s="17" t="s">
        <v>499</v>
      </c>
      <c r="J6" s="17">
        <v>31</v>
      </c>
      <c r="K6" s="17">
        <v>1</v>
      </c>
      <c r="L6" s="17" t="s">
        <v>262</v>
      </c>
      <c r="M6" s="17"/>
      <c r="N6" s="17"/>
      <c r="O6" s="19"/>
      <c r="P6" s="17">
        <v>5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x14ac:dyDescent="0.2">
      <c r="A7" s="54"/>
      <c r="B7" s="19">
        <v>45981</v>
      </c>
      <c r="C7" s="16">
        <v>0.96250000000000002</v>
      </c>
      <c r="D7" s="17" t="s">
        <v>487</v>
      </c>
      <c r="E7" s="17" t="s">
        <v>78</v>
      </c>
      <c r="F7" s="17" t="s">
        <v>500</v>
      </c>
      <c r="G7" s="17">
        <v>76315281</v>
      </c>
      <c r="H7" s="17" t="s">
        <v>501</v>
      </c>
      <c r="I7" s="17" t="s">
        <v>502</v>
      </c>
      <c r="J7" s="17">
        <v>42</v>
      </c>
      <c r="K7" s="17">
        <v>1</v>
      </c>
      <c r="L7" s="17" t="s">
        <v>22</v>
      </c>
      <c r="M7" s="17"/>
      <c r="N7" s="17"/>
      <c r="O7" s="19"/>
      <c r="P7" s="17">
        <v>6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x14ac:dyDescent="0.2">
      <c r="A8" s="54"/>
      <c r="B8" s="19">
        <v>45984</v>
      </c>
      <c r="C8" s="16">
        <v>0.20347222222222222</v>
      </c>
      <c r="D8" s="17" t="s">
        <v>190</v>
      </c>
      <c r="E8" s="17" t="s">
        <v>276</v>
      </c>
      <c r="F8" s="17" t="s">
        <v>503</v>
      </c>
      <c r="G8" s="17">
        <v>46097673</v>
      </c>
      <c r="H8" s="17" t="s">
        <v>504</v>
      </c>
      <c r="I8" s="17" t="s">
        <v>505</v>
      </c>
      <c r="J8" s="17">
        <v>22</v>
      </c>
      <c r="K8" s="17">
        <v>1</v>
      </c>
      <c r="L8" s="17" t="s">
        <v>22</v>
      </c>
      <c r="M8" s="17"/>
      <c r="N8" s="17"/>
      <c r="O8" s="19"/>
      <c r="P8" s="17">
        <v>7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54"/>
      <c r="B9" s="19">
        <v>45984</v>
      </c>
      <c r="C9" s="16">
        <v>0.87708333333333333</v>
      </c>
      <c r="D9" s="17" t="s">
        <v>41</v>
      </c>
      <c r="E9" s="17" t="s">
        <v>303</v>
      </c>
      <c r="F9" s="17" t="s">
        <v>506</v>
      </c>
      <c r="G9" s="17">
        <v>47081362</v>
      </c>
      <c r="H9" s="17" t="s">
        <v>507</v>
      </c>
      <c r="I9" s="17" t="s">
        <v>508</v>
      </c>
      <c r="J9" s="17">
        <v>27</v>
      </c>
      <c r="K9" s="17">
        <v>1</v>
      </c>
      <c r="L9" s="17" t="s">
        <v>44</v>
      </c>
      <c r="M9" s="17"/>
      <c r="N9" s="17"/>
      <c r="O9" s="19"/>
      <c r="P9" s="17">
        <v>8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x14ac:dyDescent="0.2">
      <c r="A10" s="51"/>
      <c r="B10" s="19">
        <v>45984</v>
      </c>
      <c r="C10" s="16">
        <v>0.92777777777777781</v>
      </c>
      <c r="D10" s="17" t="s">
        <v>509</v>
      </c>
      <c r="E10" s="17" t="s">
        <v>338</v>
      </c>
      <c r="F10" s="17" t="s">
        <v>510</v>
      </c>
      <c r="G10" s="19"/>
      <c r="H10" s="17" t="s">
        <v>511</v>
      </c>
      <c r="I10" s="17" t="s">
        <v>512</v>
      </c>
      <c r="J10" s="17">
        <v>43</v>
      </c>
      <c r="K10" s="17">
        <v>1</v>
      </c>
      <c r="L10" s="17" t="s">
        <v>22</v>
      </c>
      <c r="M10" s="17"/>
      <c r="N10" s="17"/>
      <c r="O10" s="19"/>
      <c r="P10" s="17">
        <v>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6.75" customHeight="1" x14ac:dyDescent="0.2">
      <c r="A11" s="53" t="s">
        <v>121</v>
      </c>
      <c r="B11" s="19">
        <v>45979</v>
      </c>
      <c r="C11" s="16">
        <v>0.77430555555555558</v>
      </c>
      <c r="D11" s="17" t="s">
        <v>513</v>
      </c>
      <c r="E11" s="17" t="s">
        <v>386</v>
      </c>
      <c r="F11" s="17" t="s">
        <v>514</v>
      </c>
      <c r="G11" s="17">
        <v>46231401</v>
      </c>
      <c r="H11" s="17" t="s">
        <v>515</v>
      </c>
      <c r="I11" s="17" t="s">
        <v>516</v>
      </c>
      <c r="J11" s="17">
        <v>69</v>
      </c>
      <c r="K11" s="17">
        <v>1</v>
      </c>
      <c r="L11" s="17" t="s">
        <v>517</v>
      </c>
      <c r="M11" s="17"/>
      <c r="N11" s="17"/>
      <c r="O11" s="19"/>
      <c r="P11" s="17">
        <v>10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54"/>
      <c r="B12" s="19">
        <v>45980</v>
      </c>
      <c r="C12" s="16">
        <v>0.64583333333333337</v>
      </c>
      <c r="D12" s="17" t="s">
        <v>518</v>
      </c>
      <c r="E12" s="17" t="s">
        <v>282</v>
      </c>
      <c r="F12" s="17" t="s">
        <v>519</v>
      </c>
      <c r="G12" s="17">
        <v>47994609</v>
      </c>
      <c r="H12" s="17" t="s">
        <v>520</v>
      </c>
      <c r="I12" s="17" t="s">
        <v>521</v>
      </c>
      <c r="J12" s="17">
        <v>23</v>
      </c>
      <c r="K12" s="17">
        <v>1</v>
      </c>
      <c r="L12" s="17" t="s">
        <v>44</v>
      </c>
      <c r="M12" s="17"/>
      <c r="N12" s="17"/>
      <c r="O12" s="19"/>
      <c r="P12" s="17">
        <v>11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54"/>
      <c r="B13" s="19">
        <v>45980</v>
      </c>
      <c r="C13" s="16">
        <v>0.96875</v>
      </c>
      <c r="D13" s="17" t="s">
        <v>522</v>
      </c>
      <c r="E13" s="17" t="s">
        <v>386</v>
      </c>
      <c r="F13" s="17" t="s">
        <v>325</v>
      </c>
      <c r="G13" s="17">
        <v>45624770</v>
      </c>
      <c r="H13" s="17" t="s">
        <v>523</v>
      </c>
      <c r="I13" s="17" t="s">
        <v>524</v>
      </c>
      <c r="J13" s="17">
        <v>55</v>
      </c>
      <c r="K13" s="17">
        <v>1</v>
      </c>
      <c r="L13" s="17" t="s">
        <v>126</v>
      </c>
      <c r="M13" s="17"/>
      <c r="N13" s="17"/>
      <c r="O13" s="19"/>
      <c r="P13" s="17">
        <v>12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54"/>
      <c r="B14" s="19">
        <v>45983</v>
      </c>
      <c r="C14" s="16">
        <v>0.77083333333333337</v>
      </c>
      <c r="D14" s="17" t="s">
        <v>525</v>
      </c>
      <c r="E14" s="17" t="s">
        <v>282</v>
      </c>
      <c r="F14" s="17" t="s">
        <v>526</v>
      </c>
      <c r="G14" s="17">
        <v>73342760</v>
      </c>
      <c r="H14" s="17" t="s">
        <v>527</v>
      </c>
      <c r="I14" s="17" t="s">
        <v>528</v>
      </c>
      <c r="J14" s="17">
        <v>54</v>
      </c>
      <c r="K14" s="17">
        <v>1</v>
      </c>
      <c r="L14" s="17" t="s">
        <v>262</v>
      </c>
      <c r="M14" s="17"/>
      <c r="N14" s="17"/>
      <c r="O14" s="17"/>
      <c r="P14" s="17">
        <v>13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55"/>
      <c r="B15" s="19">
        <v>45984</v>
      </c>
      <c r="C15" s="16">
        <v>0.43055555555555558</v>
      </c>
      <c r="D15" s="17" t="s">
        <v>529</v>
      </c>
      <c r="E15" s="17" t="s">
        <v>303</v>
      </c>
      <c r="F15" s="17" t="s">
        <v>530</v>
      </c>
      <c r="G15" s="19"/>
      <c r="H15" s="17" t="s">
        <v>531</v>
      </c>
      <c r="I15" s="17" t="s">
        <v>532</v>
      </c>
      <c r="J15" s="17">
        <v>65</v>
      </c>
      <c r="K15" s="17">
        <v>1</v>
      </c>
      <c r="L15" s="17" t="s">
        <v>126</v>
      </c>
      <c r="M15" s="17"/>
      <c r="N15" s="17"/>
      <c r="O15" s="19"/>
      <c r="P15" s="17">
        <v>14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81.75" customHeight="1" x14ac:dyDescent="0.2">
      <c r="A16" s="66" t="s">
        <v>533</v>
      </c>
      <c r="B16" s="19">
        <v>45978</v>
      </c>
      <c r="C16" s="16">
        <v>0.45624999999999999</v>
      </c>
      <c r="D16" s="17" t="s">
        <v>534</v>
      </c>
      <c r="E16" s="17" t="s">
        <v>217</v>
      </c>
      <c r="F16" s="17" t="s">
        <v>535</v>
      </c>
      <c r="G16" s="17">
        <v>73214407</v>
      </c>
      <c r="H16" s="17" t="s">
        <v>536</v>
      </c>
      <c r="I16" s="17" t="s">
        <v>537</v>
      </c>
      <c r="J16" s="17">
        <v>32</v>
      </c>
      <c r="K16" s="17">
        <v>1</v>
      </c>
      <c r="L16" s="17" t="s">
        <v>538</v>
      </c>
      <c r="M16" s="17"/>
      <c r="N16" s="17"/>
      <c r="O16" s="19"/>
      <c r="P16" s="17">
        <v>15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67"/>
      <c r="B17" s="19">
        <v>45981</v>
      </c>
      <c r="C17" s="16">
        <v>0.7993055555555556</v>
      </c>
      <c r="D17" s="17" t="s">
        <v>539</v>
      </c>
      <c r="E17" s="17" t="s">
        <v>386</v>
      </c>
      <c r="F17" s="17" t="s">
        <v>540</v>
      </c>
      <c r="G17" s="17">
        <v>71074941</v>
      </c>
      <c r="H17" s="17" t="s">
        <v>541</v>
      </c>
      <c r="I17" s="17" t="s">
        <v>542</v>
      </c>
      <c r="J17" s="17">
        <v>29</v>
      </c>
      <c r="K17" s="17">
        <v>1</v>
      </c>
      <c r="L17" s="17" t="s">
        <v>543</v>
      </c>
      <c r="M17" s="17"/>
      <c r="N17" s="17"/>
      <c r="O17" s="19"/>
      <c r="P17" s="17">
        <v>16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67"/>
      <c r="B18" s="19">
        <v>45983</v>
      </c>
      <c r="C18" s="16">
        <v>0.22430555555555556</v>
      </c>
      <c r="D18" s="17" t="s">
        <v>544</v>
      </c>
      <c r="E18" s="17" t="s">
        <v>338</v>
      </c>
      <c r="F18" s="17" t="s">
        <v>545</v>
      </c>
      <c r="G18" s="17">
        <v>72015641</v>
      </c>
      <c r="H18" s="17" t="s">
        <v>546</v>
      </c>
      <c r="I18" s="17" t="s">
        <v>547</v>
      </c>
      <c r="J18" s="17">
        <v>32</v>
      </c>
      <c r="K18" s="17">
        <v>1</v>
      </c>
      <c r="L18" s="17" t="s">
        <v>22</v>
      </c>
      <c r="M18" s="17"/>
      <c r="N18" s="17"/>
      <c r="O18" s="19"/>
      <c r="P18" s="17">
        <v>17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67"/>
      <c r="B19" s="19">
        <v>45983</v>
      </c>
      <c r="C19" s="16">
        <v>0.93958333333333333</v>
      </c>
      <c r="D19" s="17" t="s">
        <v>214</v>
      </c>
      <c r="E19" s="17" t="s">
        <v>298</v>
      </c>
      <c r="F19" s="17" t="s">
        <v>428</v>
      </c>
      <c r="G19" s="17">
        <v>72767195</v>
      </c>
      <c r="H19" s="17" t="s">
        <v>548</v>
      </c>
      <c r="I19" s="17" t="s">
        <v>549</v>
      </c>
      <c r="J19" s="17">
        <v>24</v>
      </c>
      <c r="K19" s="17">
        <v>1</v>
      </c>
      <c r="L19" s="17" t="s">
        <v>126</v>
      </c>
      <c r="M19" s="17"/>
      <c r="N19" s="17"/>
      <c r="O19" s="19"/>
      <c r="P19" s="17">
        <v>18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68"/>
      <c r="B20" s="19">
        <v>45984</v>
      </c>
      <c r="C20" s="16">
        <v>0.50138888888888888</v>
      </c>
      <c r="D20" s="19"/>
      <c r="E20" s="17" t="s">
        <v>550</v>
      </c>
      <c r="F20" s="17" t="s">
        <v>551</v>
      </c>
      <c r="G20" s="19"/>
      <c r="H20" s="17" t="s">
        <v>552</v>
      </c>
      <c r="I20" s="17"/>
      <c r="J20" s="17">
        <v>46</v>
      </c>
      <c r="K20" s="17">
        <v>1</v>
      </c>
      <c r="L20" s="17" t="s">
        <v>543</v>
      </c>
      <c r="M20" s="17"/>
      <c r="N20" s="17"/>
      <c r="O20" s="19"/>
      <c r="P20" s="17">
        <v>19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48.75" customHeight="1" x14ac:dyDescent="0.2">
      <c r="A21" s="62" t="s">
        <v>212</v>
      </c>
      <c r="B21" s="15">
        <v>45978</v>
      </c>
      <c r="C21" s="16">
        <v>0.4375</v>
      </c>
      <c r="D21" s="17" t="s">
        <v>553</v>
      </c>
      <c r="E21" s="17" t="s">
        <v>554</v>
      </c>
      <c r="F21" s="17" t="s">
        <v>438</v>
      </c>
      <c r="G21" s="17">
        <v>76859582</v>
      </c>
      <c r="H21" s="17" t="s">
        <v>555</v>
      </c>
      <c r="I21" s="17" t="s">
        <v>556</v>
      </c>
      <c r="J21" s="17">
        <v>47</v>
      </c>
      <c r="K21" s="17">
        <v>1</v>
      </c>
      <c r="L21" s="8" t="s">
        <v>557</v>
      </c>
      <c r="M21" s="17"/>
      <c r="N21" s="17"/>
      <c r="O21" s="19"/>
      <c r="P21" s="17">
        <v>20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63"/>
      <c r="B22" s="56">
        <v>45979</v>
      </c>
      <c r="C22" s="52">
        <v>0.9555555555555556</v>
      </c>
      <c r="D22" s="50" t="s">
        <v>558</v>
      </c>
      <c r="E22" s="50" t="s">
        <v>559</v>
      </c>
      <c r="F22" s="50" t="s">
        <v>560</v>
      </c>
      <c r="G22" s="50">
        <v>47076110</v>
      </c>
      <c r="H22" s="17" t="s">
        <v>561</v>
      </c>
      <c r="I22" s="17" t="s">
        <v>562</v>
      </c>
      <c r="J22" s="17">
        <v>40</v>
      </c>
      <c r="K22" s="50">
        <v>2</v>
      </c>
      <c r="L22" s="50" t="s">
        <v>302</v>
      </c>
      <c r="M22" s="50"/>
      <c r="N22" s="50"/>
      <c r="O22" s="56"/>
      <c r="P22" s="50">
        <v>21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63"/>
      <c r="B23" s="51"/>
      <c r="C23" s="51"/>
      <c r="D23" s="51"/>
      <c r="E23" s="51"/>
      <c r="F23" s="51"/>
      <c r="G23" s="51"/>
      <c r="H23" s="23" t="s">
        <v>563</v>
      </c>
      <c r="I23" s="23" t="s">
        <v>564</v>
      </c>
      <c r="J23" s="23">
        <v>56</v>
      </c>
      <c r="K23" s="51"/>
      <c r="L23" s="51"/>
      <c r="M23" s="51"/>
      <c r="N23" s="51"/>
      <c r="O23" s="51"/>
      <c r="P23" s="5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63"/>
      <c r="B24" s="56">
        <v>45980</v>
      </c>
      <c r="C24" s="52">
        <v>0.95416666666666672</v>
      </c>
      <c r="D24" s="50" t="s">
        <v>565</v>
      </c>
      <c r="E24" s="50" t="s">
        <v>559</v>
      </c>
      <c r="F24" s="50" t="s">
        <v>560</v>
      </c>
      <c r="G24" s="50">
        <v>47076110</v>
      </c>
      <c r="H24" s="17" t="s">
        <v>566</v>
      </c>
      <c r="I24" s="17" t="s">
        <v>567</v>
      </c>
      <c r="J24" s="17">
        <v>25</v>
      </c>
      <c r="K24" s="50">
        <v>2</v>
      </c>
      <c r="L24" s="50" t="s">
        <v>568</v>
      </c>
      <c r="M24" s="74"/>
      <c r="N24" s="50"/>
      <c r="O24" s="56"/>
      <c r="P24" s="50">
        <v>22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63"/>
      <c r="B25" s="51"/>
      <c r="C25" s="51"/>
      <c r="D25" s="51"/>
      <c r="E25" s="51"/>
      <c r="F25" s="51"/>
      <c r="G25" s="51"/>
      <c r="H25" s="23" t="s">
        <v>569</v>
      </c>
      <c r="I25" s="23" t="s">
        <v>570</v>
      </c>
      <c r="J25" s="23">
        <v>31</v>
      </c>
      <c r="K25" s="51"/>
      <c r="L25" s="51"/>
      <c r="M25" s="70"/>
      <c r="N25" s="51"/>
      <c r="O25" s="51"/>
      <c r="P25" s="5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63"/>
      <c r="B26" s="29">
        <v>45983</v>
      </c>
      <c r="C26" s="30">
        <v>0.77777777777777779</v>
      </c>
      <c r="D26" s="29"/>
      <c r="E26" s="31" t="s">
        <v>571</v>
      </c>
      <c r="F26" s="29" t="s">
        <v>572</v>
      </c>
      <c r="G26" s="17">
        <v>48250590</v>
      </c>
      <c r="H26" s="17" t="s">
        <v>573</v>
      </c>
      <c r="I26" s="17" t="s">
        <v>574</v>
      </c>
      <c r="J26" s="17">
        <v>27</v>
      </c>
      <c r="K26" s="17">
        <v>1</v>
      </c>
      <c r="L26" s="17" t="s">
        <v>126</v>
      </c>
      <c r="M26" s="17"/>
      <c r="N26" s="17"/>
      <c r="O26" s="19"/>
      <c r="P26" s="17">
        <v>23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63"/>
      <c r="B27" s="19">
        <v>45984</v>
      </c>
      <c r="C27" s="16">
        <v>0.33333333333333331</v>
      </c>
      <c r="D27" s="19"/>
      <c r="E27" s="17" t="s">
        <v>298</v>
      </c>
      <c r="F27" s="17" t="s">
        <v>575</v>
      </c>
      <c r="G27" s="19"/>
      <c r="H27" s="17" t="s">
        <v>576</v>
      </c>
      <c r="I27" s="17"/>
      <c r="J27" s="17"/>
      <c r="K27" s="17">
        <v>1</v>
      </c>
      <c r="L27" s="17" t="s">
        <v>302</v>
      </c>
      <c r="M27" s="17"/>
      <c r="N27" s="17"/>
      <c r="O27" s="19"/>
      <c r="P27" s="17">
        <v>24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64"/>
      <c r="B28" s="19">
        <v>45985</v>
      </c>
      <c r="C28" s="16">
        <v>0.24097222222222223</v>
      </c>
      <c r="D28" s="17" t="s">
        <v>577</v>
      </c>
      <c r="E28" s="17" t="s">
        <v>400</v>
      </c>
      <c r="F28" s="17" t="s">
        <v>578</v>
      </c>
      <c r="G28" s="17">
        <v>46918669</v>
      </c>
      <c r="H28" s="17" t="s">
        <v>579</v>
      </c>
      <c r="I28" s="17" t="s">
        <v>580</v>
      </c>
      <c r="J28" s="17">
        <v>46</v>
      </c>
      <c r="K28" s="17">
        <v>1</v>
      </c>
      <c r="L28" s="17" t="s">
        <v>22</v>
      </c>
      <c r="M28" s="17"/>
      <c r="N28" s="17"/>
      <c r="O28" s="19"/>
      <c r="P28" s="17">
        <v>25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1">
        <f>SUM(K2:K28)</f>
        <v>27</v>
      </c>
      <c r="L29" s="5"/>
      <c r="M29" s="5"/>
      <c r="N29" s="5"/>
      <c r="O29" s="5"/>
      <c r="P29" s="1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</sheetData>
  <mergeCells count="28">
    <mergeCell ref="O24:O25"/>
    <mergeCell ref="P24:P25"/>
    <mergeCell ref="B24:B25"/>
    <mergeCell ref="C24:C25"/>
    <mergeCell ref="E24:E25"/>
    <mergeCell ref="F24:F25"/>
    <mergeCell ref="G24:G25"/>
    <mergeCell ref="K24:K25"/>
    <mergeCell ref="L24:L25"/>
    <mergeCell ref="C22:C23"/>
    <mergeCell ref="D22:D23"/>
    <mergeCell ref="D24:D25"/>
    <mergeCell ref="M24:M25"/>
    <mergeCell ref="N24:N25"/>
    <mergeCell ref="A2:A10"/>
    <mergeCell ref="A11:A15"/>
    <mergeCell ref="A16:A20"/>
    <mergeCell ref="A21:A28"/>
    <mergeCell ref="B22:B23"/>
    <mergeCell ref="O22:O23"/>
    <mergeCell ref="P22:P23"/>
    <mergeCell ref="E22:E23"/>
    <mergeCell ref="F22:F23"/>
    <mergeCell ref="G22:G23"/>
    <mergeCell ref="K22:K23"/>
    <mergeCell ref="L22:L23"/>
    <mergeCell ref="M22:M23"/>
    <mergeCell ref="N22:N23"/>
  </mergeCells>
  <pageMargins left="0.21875" right="0.13541666666666699" top="0.3" bottom="0.3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2.625" defaultRowHeight="15" customHeight="1" x14ac:dyDescent="0.2"/>
  <cols>
    <col min="1" max="1" width="16.375" customWidth="1"/>
    <col min="2" max="2" width="13.75" customWidth="1"/>
    <col min="3" max="3" width="19" customWidth="1"/>
    <col min="4" max="4" width="11.75" customWidth="1"/>
    <col min="5" max="5" width="18.875" customWidth="1"/>
    <col min="6" max="6" width="12.875" customWidth="1"/>
    <col min="7" max="7" width="16.375" customWidth="1"/>
    <col min="8" max="8" width="14.25" customWidth="1"/>
    <col min="9" max="9" width="10.5" customWidth="1"/>
    <col min="10" max="26" width="8.625" customWidth="1"/>
  </cols>
  <sheetData>
    <row r="1" spans="1:26" ht="30" x14ac:dyDescent="0.2">
      <c r="A1" s="14" t="s">
        <v>0</v>
      </c>
      <c r="B1" s="14" t="s">
        <v>1</v>
      </c>
      <c r="C1" s="14" t="s">
        <v>7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14</v>
      </c>
      <c r="I1" s="14" t="s">
        <v>15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30" customHeight="1" x14ac:dyDescent="0.2">
      <c r="A2" s="71" t="s">
        <v>16</v>
      </c>
      <c r="B2" s="19">
        <v>45957</v>
      </c>
      <c r="C2" s="33" t="s">
        <v>581</v>
      </c>
      <c r="D2" s="33">
        <v>1</v>
      </c>
      <c r="E2" s="17" t="s">
        <v>44</v>
      </c>
      <c r="F2" s="17" t="s">
        <v>582</v>
      </c>
      <c r="G2" s="17" t="s">
        <v>583</v>
      </c>
      <c r="H2" s="19">
        <v>45959</v>
      </c>
      <c r="I2" s="17">
        <v>1</v>
      </c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30" x14ac:dyDescent="0.2">
      <c r="A3" s="54"/>
      <c r="B3" s="19">
        <v>45958</v>
      </c>
      <c r="C3" s="34" t="s">
        <v>584</v>
      </c>
      <c r="D3" s="34">
        <v>1</v>
      </c>
      <c r="E3" s="17" t="s">
        <v>585</v>
      </c>
      <c r="F3" s="17" t="s">
        <v>586</v>
      </c>
      <c r="G3" s="17" t="s">
        <v>586</v>
      </c>
      <c r="H3" s="19">
        <v>45958</v>
      </c>
      <c r="I3" s="17">
        <v>2</v>
      </c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30" x14ac:dyDescent="0.2">
      <c r="A4" s="54"/>
      <c r="B4" s="19">
        <v>45959</v>
      </c>
      <c r="C4" s="17" t="s">
        <v>587</v>
      </c>
      <c r="D4" s="17">
        <v>1</v>
      </c>
      <c r="E4" s="17" t="s">
        <v>44</v>
      </c>
      <c r="F4" s="17" t="s">
        <v>582</v>
      </c>
      <c r="G4" s="17"/>
      <c r="H4" s="19"/>
      <c r="I4" s="17">
        <v>3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30" x14ac:dyDescent="0.2">
      <c r="A5" s="54"/>
      <c r="B5" s="19">
        <v>45959</v>
      </c>
      <c r="C5" s="17" t="s">
        <v>588</v>
      </c>
      <c r="D5" s="17">
        <v>1</v>
      </c>
      <c r="E5" s="17" t="s">
        <v>585</v>
      </c>
      <c r="F5" s="17" t="s">
        <v>589</v>
      </c>
      <c r="G5" s="17" t="s">
        <v>586</v>
      </c>
      <c r="H5" s="19">
        <v>45960</v>
      </c>
      <c r="I5" s="17">
        <v>4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30" x14ac:dyDescent="0.2">
      <c r="A6" s="54"/>
      <c r="B6" s="19">
        <v>45960</v>
      </c>
      <c r="C6" s="17" t="s">
        <v>590</v>
      </c>
      <c r="D6" s="17">
        <v>1</v>
      </c>
      <c r="E6" s="17" t="s">
        <v>585</v>
      </c>
      <c r="F6" s="17" t="s">
        <v>582</v>
      </c>
      <c r="G6" s="17" t="s">
        <v>583</v>
      </c>
      <c r="H6" s="19"/>
      <c r="I6" s="17">
        <v>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60" x14ac:dyDescent="0.2">
      <c r="A7" s="54"/>
      <c r="B7" s="19">
        <v>45960</v>
      </c>
      <c r="C7" s="17" t="s">
        <v>591</v>
      </c>
      <c r="D7" s="17">
        <v>1</v>
      </c>
      <c r="E7" s="17" t="s">
        <v>585</v>
      </c>
      <c r="F7" s="17" t="s">
        <v>586</v>
      </c>
      <c r="G7" s="17"/>
      <c r="H7" s="19"/>
      <c r="I7" s="17">
        <v>6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30" x14ac:dyDescent="0.2">
      <c r="A8" s="54"/>
      <c r="B8" s="19">
        <v>45961</v>
      </c>
      <c r="C8" s="17" t="s">
        <v>592</v>
      </c>
      <c r="D8" s="17">
        <v>1</v>
      </c>
      <c r="E8" s="17" t="s">
        <v>585</v>
      </c>
      <c r="F8" s="17" t="s">
        <v>582</v>
      </c>
      <c r="G8" s="17" t="s">
        <v>583</v>
      </c>
      <c r="H8" s="19"/>
      <c r="I8" s="17">
        <v>7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60" x14ac:dyDescent="0.2">
      <c r="A9" s="54"/>
      <c r="B9" s="19">
        <v>45961</v>
      </c>
      <c r="C9" s="17" t="s">
        <v>593</v>
      </c>
      <c r="D9" s="17">
        <v>1</v>
      </c>
      <c r="E9" s="17" t="s">
        <v>594</v>
      </c>
      <c r="F9" s="17" t="s">
        <v>595</v>
      </c>
      <c r="G9" s="17" t="s">
        <v>596</v>
      </c>
      <c r="H9" s="19"/>
      <c r="I9" s="17">
        <v>8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30" x14ac:dyDescent="0.2">
      <c r="A10" s="54"/>
      <c r="B10" s="19">
        <v>45961</v>
      </c>
      <c r="C10" s="17" t="s">
        <v>597</v>
      </c>
      <c r="D10" s="17">
        <v>1</v>
      </c>
      <c r="E10" s="17" t="s">
        <v>585</v>
      </c>
      <c r="F10" s="17" t="s">
        <v>582</v>
      </c>
      <c r="G10" s="17" t="s">
        <v>598</v>
      </c>
      <c r="H10" s="19"/>
      <c r="I10" s="17">
        <v>9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30" x14ac:dyDescent="0.2">
      <c r="A11" s="54"/>
      <c r="B11" s="19">
        <v>45963</v>
      </c>
      <c r="C11" s="17" t="s">
        <v>599</v>
      </c>
      <c r="D11" s="17">
        <v>1</v>
      </c>
      <c r="E11" s="17" t="s">
        <v>585</v>
      </c>
      <c r="F11" s="17" t="s">
        <v>586</v>
      </c>
      <c r="G11" s="17"/>
      <c r="H11" s="19"/>
      <c r="I11" s="17">
        <v>10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60" x14ac:dyDescent="0.2">
      <c r="A12" s="54"/>
      <c r="B12" s="19">
        <v>45963</v>
      </c>
      <c r="C12" s="17" t="s">
        <v>600</v>
      </c>
      <c r="D12" s="17">
        <v>2</v>
      </c>
      <c r="E12" s="17" t="s">
        <v>302</v>
      </c>
      <c r="F12" s="17" t="s">
        <v>586</v>
      </c>
      <c r="G12" s="17"/>
      <c r="H12" s="19"/>
      <c r="I12" s="17">
        <v>11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30" x14ac:dyDescent="0.2">
      <c r="A13" s="54"/>
      <c r="B13" s="19">
        <v>45964</v>
      </c>
      <c r="C13" s="17" t="s">
        <v>601</v>
      </c>
      <c r="D13" s="17">
        <v>1</v>
      </c>
      <c r="E13" s="17" t="s">
        <v>585</v>
      </c>
      <c r="F13" s="17" t="s">
        <v>582</v>
      </c>
      <c r="G13" s="17" t="s">
        <v>583</v>
      </c>
      <c r="H13" s="19"/>
      <c r="I13" s="17">
        <v>12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45" x14ac:dyDescent="0.2">
      <c r="A14" s="51"/>
      <c r="B14" s="19">
        <v>45964</v>
      </c>
      <c r="C14" s="17" t="s">
        <v>602</v>
      </c>
      <c r="D14" s="17">
        <v>1</v>
      </c>
      <c r="E14" s="17" t="s">
        <v>262</v>
      </c>
      <c r="F14" s="17" t="s">
        <v>586</v>
      </c>
      <c r="G14" s="17"/>
      <c r="H14" s="19"/>
      <c r="I14" s="17">
        <v>13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30.75" customHeight="1" x14ac:dyDescent="0.2">
      <c r="A15" s="53" t="s">
        <v>121</v>
      </c>
      <c r="B15" s="19">
        <v>45957</v>
      </c>
      <c r="C15" s="17" t="s">
        <v>603</v>
      </c>
      <c r="D15" s="17">
        <v>1</v>
      </c>
      <c r="E15" s="17" t="s">
        <v>126</v>
      </c>
      <c r="F15" s="17" t="s">
        <v>586</v>
      </c>
      <c r="G15" s="17"/>
      <c r="H15" s="19"/>
      <c r="I15" s="17">
        <v>14</v>
      </c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30" x14ac:dyDescent="0.2">
      <c r="A16" s="54"/>
      <c r="B16" s="19">
        <v>45958</v>
      </c>
      <c r="C16" s="17" t="s">
        <v>604</v>
      </c>
      <c r="D16" s="17">
        <v>1</v>
      </c>
      <c r="E16" s="17" t="s">
        <v>126</v>
      </c>
      <c r="F16" s="17" t="s">
        <v>586</v>
      </c>
      <c r="G16" s="17"/>
      <c r="H16" s="19"/>
      <c r="I16" s="17">
        <v>15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60" x14ac:dyDescent="0.2">
      <c r="A17" s="54"/>
      <c r="B17" s="19">
        <v>45959</v>
      </c>
      <c r="C17" s="17" t="s">
        <v>605</v>
      </c>
      <c r="D17" s="17">
        <v>2</v>
      </c>
      <c r="E17" s="17" t="s">
        <v>126</v>
      </c>
      <c r="F17" s="17" t="s">
        <v>586</v>
      </c>
      <c r="G17" s="17"/>
      <c r="H17" s="19"/>
      <c r="I17" s="17">
        <v>16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30" x14ac:dyDescent="0.2">
      <c r="A18" s="54"/>
      <c r="B18" s="19">
        <v>45960</v>
      </c>
      <c r="C18" s="17" t="s">
        <v>606</v>
      </c>
      <c r="D18" s="17">
        <v>1</v>
      </c>
      <c r="E18" s="17" t="s">
        <v>44</v>
      </c>
      <c r="F18" s="17" t="s">
        <v>589</v>
      </c>
      <c r="G18" s="17"/>
      <c r="H18" s="17"/>
      <c r="I18" s="17">
        <v>17</v>
      </c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60" x14ac:dyDescent="0.2">
      <c r="A19" s="54"/>
      <c r="B19" s="19">
        <v>45960</v>
      </c>
      <c r="C19" s="17" t="s">
        <v>607</v>
      </c>
      <c r="D19" s="17">
        <v>2</v>
      </c>
      <c r="E19" s="17" t="s">
        <v>608</v>
      </c>
      <c r="F19" s="17" t="s">
        <v>595</v>
      </c>
      <c r="G19" s="17" t="s">
        <v>583</v>
      </c>
      <c r="H19" s="19"/>
      <c r="I19" s="17">
        <v>18</v>
      </c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30" x14ac:dyDescent="0.2">
      <c r="A20" s="54"/>
      <c r="B20" s="19">
        <v>45963</v>
      </c>
      <c r="C20" s="17" t="s">
        <v>609</v>
      </c>
      <c r="D20" s="17">
        <v>1</v>
      </c>
      <c r="E20" s="17" t="s">
        <v>585</v>
      </c>
      <c r="F20" s="17" t="s">
        <v>586</v>
      </c>
      <c r="G20" s="17"/>
      <c r="H20" s="19"/>
      <c r="I20" s="17">
        <v>19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 x14ac:dyDescent="0.2">
      <c r="A21" s="54"/>
      <c r="B21" s="19">
        <v>45963</v>
      </c>
      <c r="C21" s="17" t="s">
        <v>610</v>
      </c>
      <c r="D21" s="17">
        <v>2</v>
      </c>
      <c r="E21" s="17" t="s">
        <v>44</v>
      </c>
      <c r="F21" s="17" t="s">
        <v>586</v>
      </c>
      <c r="G21" s="17"/>
      <c r="H21" s="19" t="s">
        <v>611</v>
      </c>
      <c r="I21" s="17">
        <v>20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 x14ac:dyDescent="0.2">
      <c r="A22" s="54"/>
      <c r="B22" s="19">
        <v>45963</v>
      </c>
      <c r="C22" s="17" t="s">
        <v>612</v>
      </c>
      <c r="D22" s="17">
        <v>1</v>
      </c>
      <c r="E22" s="17" t="s">
        <v>44</v>
      </c>
      <c r="F22" s="17" t="s">
        <v>586</v>
      </c>
      <c r="G22" s="17"/>
      <c r="H22" s="19"/>
      <c r="I22" s="17">
        <v>21</v>
      </c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 x14ac:dyDescent="0.2">
      <c r="A23" s="55"/>
      <c r="B23" s="19">
        <v>45963</v>
      </c>
      <c r="C23" s="17" t="s">
        <v>613</v>
      </c>
      <c r="D23" s="17">
        <v>1</v>
      </c>
      <c r="E23" s="17" t="s">
        <v>56</v>
      </c>
      <c r="F23" s="17" t="s">
        <v>586</v>
      </c>
      <c r="G23" s="17"/>
      <c r="H23" s="19"/>
      <c r="I23" s="17">
        <v>22</v>
      </c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31.5" customHeight="1" x14ac:dyDescent="0.2">
      <c r="A24" s="66" t="s">
        <v>323</v>
      </c>
      <c r="B24" s="19">
        <v>45962</v>
      </c>
      <c r="C24" s="14" t="s">
        <v>614</v>
      </c>
      <c r="D24" s="17">
        <v>1</v>
      </c>
      <c r="E24" s="17" t="s">
        <v>585</v>
      </c>
      <c r="F24" s="17" t="s">
        <v>582</v>
      </c>
      <c r="G24" s="17" t="s">
        <v>582</v>
      </c>
      <c r="H24" s="19"/>
      <c r="I24" s="17">
        <v>23</v>
      </c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 x14ac:dyDescent="0.2">
      <c r="A25" s="67"/>
      <c r="B25" s="19">
        <v>45962</v>
      </c>
      <c r="C25" s="14" t="s">
        <v>615</v>
      </c>
      <c r="D25" s="17">
        <v>1</v>
      </c>
      <c r="E25" s="17" t="s">
        <v>585</v>
      </c>
      <c r="F25" s="17" t="s">
        <v>616</v>
      </c>
      <c r="G25" s="17" t="s">
        <v>586</v>
      </c>
      <c r="H25" s="19"/>
      <c r="I25" s="17">
        <v>24</v>
      </c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 x14ac:dyDescent="0.2">
      <c r="A26" s="67"/>
      <c r="B26" s="19">
        <v>45962</v>
      </c>
      <c r="C26" s="14" t="s">
        <v>617</v>
      </c>
      <c r="D26" s="17">
        <v>1</v>
      </c>
      <c r="E26" s="17" t="s">
        <v>585</v>
      </c>
      <c r="F26" s="17" t="s">
        <v>582</v>
      </c>
      <c r="G26" s="17" t="s">
        <v>583</v>
      </c>
      <c r="H26" s="19"/>
      <c r="I26" s="17">
        <v>25</v>
      </c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 x14ac:dyDescent="0.2">
      <c r="A27" s="67"/>
      <c r="B27" s="19">
        <v>45962</v>
      </c>
      <c r="C27" s="14" t="s">
        <v>618</v>
      </c>
      <c r="D27" s="17">
        <v>1</v>
      </c>
      <c r="E27" s="17" t="s">
        <v>302</v>
      </c>
      <c r="F27" s="17" t="s">
        <v>616</v>
      </c>
      <c r="G27" s="17" t="s">
        <v>586</v>
      </c>
      <c r="H27" s="19"/>
      <c r="I27" s="17">
        <v>26</v>
      </c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 x14ac:dyDescent="0.2">
      <c r="A28" s="67"/>
      <c r="B28" s="19">
        <v>45963</v>
      </c>
      <c r="C28" s="14" t="s">
        <v>619</v>
      </c>
      <c r="D28" s="17">
        <v>1</v>
      </c>
      <c r="E28" s="17" t="s">
        <v>50</v>
      </c>
      <c r="F28" s="17" t="s">
        <v>616</v>
      </c>
      <c r="G28" s="17" t="s">
        <v>586</v>
      </c>
      <c r="H28" s="19"/>
      <c r="I28" s="17">
        <v>27</v>
      </c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 x14ac:dyDescent="0.2">
      <c r="A29" s="67"/>
      <c r="B29" s="19">
        <v>45964</v>
      </c>
      <c r="C29" s="14" t="s">
        <v>620</v>
      </c>
      <c r="D29" s="17">
        <v>2</v>
      </c>
      <c r="E29" s="17" t="s">
        <v>126</v>
      </c>
      <c r="F29" s="17" t="s">
        <v>616</v>
      </c>
      <c r="G29" s="17" t="s">
        <v>586</v>
      </c>
      <c r="H29" s="19"/>
      <c r="I29" s="17">
        <v>28</v>
      </c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 x14ac:dyDescent="0.2">
      <c r="A30" s="68"/>
      <c r="B30" s="19">
        <v>45964</v>
      </c>
      <c r="C30" s="14" t="s">
        <v>621</v>
      </c>
      <c r="D30" s="17">
        <v>2</v>
      </c>
      <c r="E30" s="17" t="s">
        <v>585</v>
      </c>
      <c r="F30" s="17" t="s">
        <v>582</v>
      </c>
      <c r="G30" s="17" t="s">
        <v>583</v>
      </c>
      <c r="H30" s="19"/>
      <c r="I30" s="17">
        <v>29</v>
      </c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31.5" customHeight="1" x14ac:dyDescent="0.2">
      <c r="A31" s="62" t="s">
        <v>212</v>
      </c>
      <c r="B31" s="19">
        <v>45957</v>
      </c>
      <c r="C31" s="17" t="s">
        <v>622</v>
      </c>
      <c r="D31" s="17">
        <v>1</v>
      </c>
      <c r="E31" s="17" t="s">
        <v>126</v>
      </c>
      <c r="F31" s="17" t="s">
        <v>616</v>
      </c>
      <c r="G31" s="17" t="s">
        <v>586</v>
      </c>
      <c r="H31" s="19">
        <v>45959</v>
      </c>
      <c r="I31" s="17">
        <v>30</v>
      </c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 x14ac:dyDescent="0.2">
      <c r="A32" s="63"/>
      <c r="B32" s="19">
        <v>45958</v>
      </c>
      <c r="C32" s="17" t="s">
        <v>623</v>
      </c>
      <c r="D32" s="17">
        <v>2</v>
      </c>
      <c r="E32" s="17" t="s">
        <v>126</v>
      </c>
      <c r="F32" s="17" t="s">
        <v>616</v>
      </c>
      <c r="G32" s="17" t="s">
        <v>586</v>
      </c>
      <c r="H32" s="19"/>
      <c r="I32" s="17">
        <v>31</v>
      </c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 x14ac:dyDescent="0.2">
      <c r="A33" s="63"/>
      <c r="B33" s="19">
        <v>45959</v>
      </c>
      <c r="C33" s="17" t="s">
        <v>624</v>
      </c>
      <c r="D33" s="17">
        <v>1</v>
      </c>
      <c r="E33" s="17" t="s">
        <v>126</v>
      </c>
      <c r="F33" s="17" t="s">
        <v>616</v>
      </c>
      <c r="G33" s="17" t="s">
        <v>586</v>
      </c>
      <c r="H33" s="19"/>
      <c r="I33" s="17">
        <v>32</v>
      </c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 x14ac:dyDescent="0.2">
      <c r="A34" s="63"/>
      <c r="B34" s="19">
        <v>45959</v>
      </c>
      <c r="C34" s="5" t="s">
        <v>625</v>
      </c>
      <c r="D34" s="17">
        <v>1</v>
      </c>
      <c r="E34" s="17" t="s">
        <v>262</v>
      </c>
      <c r="F34" s="17" t="s">
        <v>616</v>
      </c>
      <c r="G34" s="17" t="s">
        <v>586</v>
      </c>
      <c r="H34" s="19"/>
      <c r="I34" s="17">
        <v>33</v>
      </c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 x14ac:dyDescent="0.2">
      <c r="A35" s="63"/>
      <c r="B35" s="19">
        <v>45959</v>
      </c>
      <c r="C35" s="17" t="s">
        <v>626</v>
      </c>
      <c r="D35" s="17">
        <v>2</v>
      </c>
      <c r="E35" s="17" t="s">
        <v>126</v>
      </c>
      <c r="F35" s="17" t="s">
        <v>616</v>
      </c>
      <c r="G35" s="17" t="s">
        <v>586</v>
      </c>
      <c r="H35" s="19"/>
      <c r="I35" s="17">
        <v>34</v>
      </c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 x14ac:dyDescent="0.2">
      <c r="A36" s="63"/>
      <c r="B36" s="19">
        <v>45960</v>
      </c>
      <c r="C36" s="17" t="s">
        <v>627</v>
      </c>
      <c r="D36" s="17">
        <v>1</v>
      </c>
      <c r="E36" s="17" t="s">
        <v>126</v>
      </c>
      <c r="F36" s="17" t="s">
        <v>616</v>
      </c>
      <c r="G36" s="17" t="s">
        <v>586</v>
      </c>
      <c r="H36" s="19"/>
      <c r="I36" s="17">
        <v>35</v>
      </c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 x14ac:dyDescent="0.2">
      <c r="A37" s="63"/>
      <c r="B37" s="19">
        <v>45961</v>
      </c>
      <c r="C37" s="17" t="s">
        <v>628</v>
      </c>
      <c r="D37" s="17">
        <v>2</v>
      </c>
      <c r="E37" s="17" t="s">
        <v>126</v>
      </c>
      <c r="F37" s="17" t="s">
        <v>616</v>
      </c>
      <c r="G37" s="17" t="s">
        <v>586</v>
      </c>
      <c r="H37" s="19"/>
      <c r="I37" s="17">
        <v>36</v>
      </c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 x14ac:dyDescent="0.2">
      <c r="A38" s="63"/>
      <c r="B38" s="19">
        <v>45961</v>
      </c>
      <c r="C38" s="17" t="s">
        <v>629</v>
      </c>
      <c r="D38" s="17">
        <v>1</v>
      </c>
      <c r="E38" s="17" t="s">
        <v>44</v>
      </c>
      <c r="F38" s="17" t="s">
        <v>582</v>
      </c>
      <c r="G38" s="17" t="s">
        <v>630</v>
      </c>
      <c r="H38" s="19"/>
      <c r="I38" s="17">
        <v>37</v>
      </c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 x14ac:dyDescent="0.2">
      <c r="A39" s="63"/>
      <c r="B39" s="19">
        <v>45962</v>
      </c>
      <c r="C39" s="17" t="s">
        <v>631</v>
      </c>
      <c r="D39" s="17">
        <v>2</v>
      </c>
      <c r="E39" s="17" t="s">
        <v>50</v>
      </c>
      <c r="F39" s="17" t="s">
        <v>616</v>
      </c>
      <c r="G39" s="17" t="s">
        <v>586</v>
      </c>
      <c r="H39" s="19"/>
      <c r="I39" s="17">
        <v>38</v>
      </c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 x14ac:dyDescent="0.2">
      <c r="A40" s="63"/>
      <c r="B40" s="19">
        <v>45962</v>
      </c>
      <c r="C40" s="17" t="s">
        <v>632</v>
      </c>
      <c r="D40" s="17">
        <v>1</v>
      </c>
      <c r="E40" s="17" t="s">
        <v>126</v>
      </c>
      <c r="F40" s="17" t="s">
        <v>616</v>
      </c>
      <c r="G40" s="17" t="s">
        <v>586</v>
      </c>
      <c r="H40" s="19"/>
      <c r="I40" s="17">
        <v>39</v>
      </c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 x14ac:dyDescent="0.2">
      <c r="A41" s="64"/>
      <c r="B41" s="19">
        <v>45962</v>
      </c>
      <c r="C41" s="17" t="s">
        <v>633</v>
      </c>
      <c r="D41" s="17">
        <v>1</v>
      </c>
      <c r="E41" s="17" t="s">
        <v>50</v>
      </c>
      <c r="F41" s="17" t="s">
        <v>616</v>
      </c>
      <c r="G41" s="17" t="s">
        <v>586</v>
      </c>
      <c r="H41" s="19"/>
      <c r="I41" s="17">
        <v>40</v>
      </c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 x14ac:dyDescent="0.2">
      <c r="A42" s="5"/>
      <c r="B42" s="5"/>
      <c r="C42" s="5"/>
      <c r="D42" s="1">
        <f>SUM(D2:D41)</f>
        <v>50</v>
      </c>
      <c r="E42" s="5"/>
      <c r="F42" s="5"/>
      <c r="G42" s="5"/>
      <c r="H42" s="5"/>
      <c r="I42" s="5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I42" xr:uid="{00000000-0009-0000-0000-000004000000}"/>
  <mergeCells count="4">
    <mergeCell ref="A2:A14"/>
    <mergeCell ref="A15:A23"/>
    <mergeCell ref="A24:A30"/>
    <mergeCell ref="A31:A41"/>
  </mergeCells>
  <pageMargins left="0.7" right="0.39583333333333298" top="0.343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Z1000"/>
  <sheetViews>
    <sheetView workbookViewId="0"/>
  </sheetViews>
  <sheetFormatPr baseColWidth="10" defaultColWidth="12.625" defaultRowHeight="15" customHeight="1" x14ac:dyDescent="0.2"/>
  <cols>
    <col min="1" max="1" width="21.125" customWidth="1"/>
    <col min="2" max="2" width="18" customWidth="1"/>
    <col min="3" max="4" width="19" customWidth="1"/>
    <col min="5" max="5" width="26.75" customWidth="1"/>
    <col min="6" max="6" width="12.875" customWidth="1"/>
    <col min="7" max="7" width="16.375" customWidth="1"/>
    <col min="8" max="8" width="14.25" customWidth="1"/>
    <col min="9" max="9" width="10.5" customWidth="1"/>
    <col min="10" max="26" width="8.625" customWidth="1"/>
  </cols>
  <sheetData>
    <row r="1" spans="1:26" ht="13.5" customHeight="1" x14ac:dyDescent="0.2">
      <c r="A1" s="14" t="s">
        <v>0</v>
      </c>
      <c r="B1" s="14" t="s">
        <v>1</v>
      </c>
      <c r="C1" s="14" t="s">
        <v>7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14</v>
      </c>
      <c r="I1" s="1" t="s">
        <v>15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0" hidden="1" customHeight="1" x14ac:dyDescent="0.2">
      <c r="A2" s="71" t="s">
        <v>16</v>
      </c>
      <c r="B2" s="19">
        <v>45943</v>
      </c>
      <c r="C2" s="33" t="s">
        <v>634</v>
      </c>
      <c r="D2" s="33">
        <v>1</v>
      </c>
      <c r="E2" s="17" t="s">
        <v>635</v>
      </c>
      <c r="F2" s="17" t="s">
        <v>582</v>
      </c>
      <c r="G2" s="17" t="s">
        <v>583</v>
      </c>
      <c r="H2" s="19">
        <v>45944</v>
      </c>
      <c r="I2" s="17">
        <v>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hidden="1" customHeight="1" x14ac:dyDescent="0.2">
      <c r="A3" s="54"/>
      <c r="B3" s="19">
        <v>45942</v>
      </c>
      <c r="C3" s="34" t="s">
        <v>636</v>
      </c>
      <c r="D3" s="34">
        <v>1</v>
      </c>
      <c r="E3" s="17" t="s">
        <v>635</v>
      </c>
      <c r="F3" s="17" t="s">
        <v>582</v>
      </c>
      <c r="G3" s="17" t="s">
        <v>583</v>
      </c>
      <c r="H3" s="19">
        <v>45944</v>
      </c>
      <c r="I3" s="17">
        <v>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hidden="1" customHeight="1" x14ac:dyDescent="0.2">
      <c r="A4" s="54"/>
      <c r="B4" s="19">
        <v>45942</v>
      </c>
      <c r="C4" s="17" t="s">
        <v>637</v>
      </c>
      <c r="D4" s="17">
        <v>1</v>
      </c>
      <c r="E4" s="17" t="s">
        <v>635</v>
      </c>
      <c r="F4" s="17" t="s">
        <v>582</v>
      </c>
      <c r="G4" s="17" t="s">
        <v>583</v>
      </c>
      <c r="H4" s="19">
        <v>45944</v>
      </c>
      <c r="I4" s="17">
        <v>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hidden="1" customHeight="1" x14ac:dyDescent="0.2">
      <c r="A5" s="54"/>
      <c r="B5" s="19">
        <v>45942</v>
      </c>
      <c r="C5" s="17" t="s">
        <v>637</v>
      </c>
      <c r="D5" s="17">
        <v>1</v>
      </c>
      <c r="E5" s="17" t="s">
        <v>635</v>
      </c>
      <c r="F5" s="17" t="s">
        <v>582</v>
      </c>
      <c r="G5" s="17" t="s">
        <v>583</v>
      </c>
      <c r="H5" s="19">
        <v>45944</v>
      </c>
      <c r="I5" s="17">
        <v>4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hidden="1" customHeight="1" x14ac:dyDescent="0.2">
      <c r="A6" s="54"/>
      <c r="B6" s="19">
        <v>45942</v>
      </c>
      <c r="C6" s="17" t="s">
        <v>638</v>
      </c>
      <c r="D6" s="17">
        <v>1</v>
      </c>
      <c r="E6" s="17" t="s">
        <v>635</v>
      </c>
      <c r="F6" s="17" t="s">
        <v>582</v>
      </c>
      <c r="G6" s="17" t="s">
        <v>583</v>
      </c>
      <c r="H6" s="19">
        <v>45944</v>
      </c>
      <c r="I6" s="17">
        <v>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hidden="1" customHeight="1" x14ac:dyDescent="0.2">
      <c r="A7" s="54"/>
      <c r="B7" s="19">
        <v>45942</v>
      </c>
      <c r="C7" s="17" t="s">
        <v>639</v>
      </c>
      <c r="D7" s="17">
        <v>1</v>
      </c>
      <c r="E7" s="17" t="s">
        <v>635</v>
      </c>
      <c r="F7" s="17" t="s">
        <v>586</v>
      </c>
      <c r="G7" s="17" t="s">
        <v>640</v>
      </c>
      <c r="H7" s="19">
        <v>45943</v>
      </c>
      <c r="I7" s="17">
        <v>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hidden="1" customHeight="1" x14ac:dyDescent="0.2">
      <c r="A8" s="54"/>
      <c r="B8" s="19">
        <v>45942</v>
      </c>
      <c r="C8" s="17" t="s">
        <v>641</v>
      </c>
      <c r="D8" s="17">
        <v>1</v>
      </c>
      <c r="E8" s="17" t="s">
        <v>635</v>
      </c>
      <c r="F8" s="17" t="s">
        <v>586</v>
      </c>
      <c r="G8" s="17" t="s">
        <v>640</v>
      </c>
      <c r="H8" s="19">
        <v>45943</v>
      </c>
      <c r="I8" s="17">
        <v>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hidden="1" customHeight="1" x14ac:dyDescent="0.2">
      <c r="A9" s="54"/>
      <c r="B9" s="19">
        <v>45941</v>
      </c>
      <c r="C9" s="17" t="s">
        <v>642</v>
      </c>
      <c r="D9" s="17">
        <v>1</v>
      </c>
      <c r="E9" s="17" t="s">
        <v>643</v>
      </c>
      <c r="F9" s="17" t="s">
        <v>582</v>
      </c>
      <c r="G9" s="17" t="s">
        <v>583</v>
      </c>
      <c r="H9" s="19">
        <v>45942</v>
      </c>
      <c r="I9" s="17">
        <v>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hidden="1" customHeight="1" x14ac:dyDescent="0.2">
      <c r="A10" s="54"/>
      <c r="B10" s="19">
        <v>45939</v>
      </c>
      <c r="C10" s="17" t="s">
        <v>644</v>
      </c>
      <c r="D10" s="17">
        <v>1</v>
      </c>
      <c r="E10" s="17" t="s">
        <v>645</v>
      </c>
      <c r="F10" s="17" t="s">
        <v>582</v>
      </c>
      <c r="G10" s="17" t="s">
        <v>583</v>
      </c>
      <c r="H10" s="19">
        <v>45940</v>
      </c>
      <c r="I10" s="17">
        <v>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2">
      <c r="A11" s="54"/>
      <c r="B11" s="19">
        <v>45938</v>
      </c>
      <c r="C11" s="17" t="s">
        <v>646</v>
      </c>
      <c r="D11" s="17">
        <v>1</v>
      </c>
      <c r="E11" s="17" t="s">
        <v>643</v>
      </c>
      <c r="F11" s="17" t="s">
        <v>586</v>
      </c>
      <c r="G11" s="17" t="s">
        <v>647</v>
      </c>
      <c r="H11" s="19">
        <v>45939</v>
      </c>
      <c r="I11" s="17">
        <v>10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2">
      <c r="A12" s="54"/>
      <c r="B12" s="19">
        <v>45937</v>
      </c>
      <c r="C12" s="17" t="s">
        <v>648</v>
      </c>
      <c r="D12" s="17">
        <v>2</v>
      </c>
      <c r="E12" s="17" t="s">
        <v>649</v>
      </c>
      <c r="F12" s="17" t="s">
        <v>582</v>
      </c>
      <c r="G12" s="17" t="s">
        <v>583</v>
      </c>
      <c r="H12" s="19">
        <v>45939</v>
      </c>
      <c r="I12" s="17">
        <v>11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2">
      <c r="A13" s="54"/>
      <c r="B13" s="19">
        <v>45936</v>
      </c>
      <c r="C13" s="17" t="s">
        <v>650</v>
      </c>
      <c r="D13" s="17">
        <v>1</v>
      </c>
      <c r="E13" s="17" t="s">
        <v>645</v>
      </c>
      <c r="F13" s="17" t="s">
        <v>582</v>
      </c>
      <c r="G13" s="17" t="s">
        <v>583</v>
      </c>
      <c r="H13" s="19">
        <v>45938</v>
      </c>
      <c r="I13" s="17">
        <v>12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2">
      <c r="A14" s="51"/>
      <c r="B14" s="19">
        <v>45936</v>
      </c>
      <c r="C14" s="17" t="s">
        <v>651</v>
      </c>
      <c r="D14" s="17">
        <v>1</v>
      </c>
      <c r="E14" s="17" t="s">
        <v>645</v>
      </c>
      <c r="F14" s="17" t="s">
        <v>582</v>
      </c>
      <c r="G14" s="17" t="s">
        <v>583</v>
      </c>
      <c r="H14" s="19">
        <v>45937</v>
      </c>
      <c r="I14" s="17">
        <v>13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75.75" hidden="1" customHeight="1" x14ac:dyDescent="0.2">
      <c r="A15" s="53" t="s">
        <v>121</v>
      </c>
      <c r="B15" s="19">
        <v>45943</v>
      </c>
      <c r="C15" s="17" t="s">
        <v>652</v>
      </c>
      <c r="D15" s="17">
        <v>2</v>
      </c>
      <c r="E15" s="17" t="s">
        <v>653</v>
      </c>
      <c r="F15" s="17" t="s">
        <v>654</v>
      </c>
      <c r="G15" s="17" t="s">
        <v>655</v>
      </c>
      <c r="H15" s="19">
        <v>45944</v>
      </c>
      <c r="I15" s="17">
        <v>14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hidden="1" customHeight="1" x14ac:dyDescent="0.2">
      <c r="A16" s="54"/>
      <c r="B16" s="19">
        <v>45943</v>
      </c>
      <c r="C16" s="17" t="s">
        <v>656</v>
      </c>
      <c r="D16" s="17">
        <v>1</v>
      </c>
      <c r="E16" s="17" t="s">
        <v>657</v>
      </c>
      <c r="F16" s="17" t="s">
        <v>654</v>
      </c>
      <c r="G16" s="17" t="s">
        <v>655</v>
      </c>
      <c r="H16" s="19">
        <v>45944</v>
      </c>
      <c r="I16" s="17">
        <v>15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hidden="1" customHeight="1" x14ac:dyDescent="0.2">
      <c r="A17" s="54"/>
      <c r="B17" s="19">
        <v>45942</v>
      </c>
      <c r="C17" s="17" t="s">
        <v>658</v>
      </c>
      <c r="D17" s="17">
        <v>1</v>
      </c>
      <c r="E17" s="17" t="s">
        <v>635</v>
      </c>
      <c r="F17" s="17" t="s">
        <v>582</v>
      </c>
      <c r="G17" s="17" t="s">
        <v>583</v>
      </c>
      <c r="H17" s="19">
        <v>45942</v>
      </c>
      <c r="I17" s="17">
        <v>16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hidden="1" customHeight="1" x14ac:dyDescent="0.2">
      <c r="A18" s="54"/>
      <c r="B18" s="19">
        <v>45942</v>
      </c>
      <c r="C18" s="17" t="s">
        <v>659</v>
      </c>
      <c r="D18" s="17">
        <v>1</v>
      </c>
      <c r="E18" s="17" t="s">
        <v>653</v>
      </c>
      <c r="F18" s="17"/>
      <c r="G18" s="17"/>
      <c r="H18" s="17"/>
      <c r="I18" s="17">
        <v>17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hidden="1" customHeight="1" x14ac:dyDescent="0.2">
      <c r="A19" s="54"/>
      <c r="B19" s="19">
        <v>45942</v>
      </c>
      <c r="C19" s="17" t="s">
        <v>660</v>
      </c>
      <c r="D19" s="17">
        <v>1</v>
      </c>
      <c r="E19" s="17" t="s">
        <v>635</v>
      </c>
      <c r="F19" s="17" t="s">
        <v>582</v>
      </c>
      <c r="G19" s="17" t="s">
        <v>583</v>
      </c>
      <c r="H19" s="19">
        <v>45943</v>
      </c>
      <c r="I19" s="17">
        <v>18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hidden="1" customHeight="1" x14ac:dyDescent="0.2">
      <c r="A20" s="54"/>
      <c r="B20" s="19">
        <v>45942</v>
      </c>
      <c r="C20" s="17" t="s">
        <v>661</v>
      </c>
      <c r="D20" s="17">
        <v>1</v>
      </c>
      <c r="E20" s="17" t="s">
        <v>635</v>
      </c>
      <c r="F20" s="17" t="s">
        <v>586</v>
      </c>
      <c r="G20" s="17" t="s">
        <v>640</v>
      </c>
      <c r="H20" s="19">
        <v>45942</v>
      </c>
      <c r="I20" s="17">
        <v>19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hidden="1" customHeight="1" x14ac:dyDescent="0.2">
      <c r="A21" s="54"/>
      <c r="B21" s="19">
        <v>45941</v>
      </c>
      <c r="C21" s="17" t="s">
        <v>662</v>
      </c>
      <c r="D21" s="17">
        <v>2</v>
      </c>
      <c r="E21" s="17" t="s">
        <v>663</v>
      </c>
      <c r="F21" s="17" t="s">
        <v>582</v>
      </c>
      <c r="G21" s="17" t="s">
        <v>664</v>
      </c>
      <c r="H21" s="19">
        <v>45943</v>
      </c>
      <c r="I21" s="17">
        <v>20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hidden="1" customHeight="1" x14ac:dyDescent="0.2">
      <c r="A22" s="54"/>
      <c r="B22" s="19">
        <v>45940</v>
      </c>
      <c r="C22" s="17" t="s">
        <v>665</v>
      </c>
      <c r="D22" s="17">
        <v>1</v>
      </c>
      <c r="E22" s="17" t="s">
        <v>653</v>
      </c>
      <c r="F22" s="17" t="s">
        <v>586</v>
      </c>
      <c r="G22" s="17" t="s">
        <v>666</v>
      </c>
      <c r="H22" s="19">
        <v>45942</v>
      </c>
      <c r="I22" s="17">
        <v>21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hidden="1" customHeight="1" x14ac:dyDescent="0.2">
      <c r="A23" s="54"/>
      <c r="B23" s="19">
        <v>45939</v>
      </c>
      <c r="C23" s="17" t="s">
        <v>667</v>
      </c>
      <c r="D23" s="17">
        <v>1</v>
      </c>
      <c r="E23" s="17" t="s">
        <v>635</v>
      </c>
      <c r="F23" s="17" t="s">
        <v>582</v>
      </c>
      <c r="G23" s="17" t="s">
        <v>583</v>
      </c>
      <c r="H23" s="19">
        <v>45941</v>
      </c>
      <c r="I23" s="17">
        <v>22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2">
      <c r="A24" s="54"/>
      <c r="B24" s="19">
        <v>45938</v>
      </c>
      <c r="C24" s="17" t="s">
        <v>668</v>
      </c>
      <c r="D24" s="17">
        <v>1</v>
      </c>
      <c r="E24" s="17" t="s">
        <v>635</v>
      </c>
      <c r="F24" s="17" t="s">
        <v>582</v>
      </c>
      <c r="G24" s="17" t="s">
        <v>583</v>
      </c>
      <c r="H24" s="19">
        <v>45939</v>
      </c>
      <c r="I24" s="17">
        <v>23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2">
      <c r="A25" s="55"/>
      <c r="B25" s="19">
        <v>45936</v>
      </c>
      <c r="C25" s="17" t="s">
        <v>669</v>
      </c>
      <c r="D25" s="17">
        <v>1</v>
      </c>
      <c r="E25" s="17" t="s">
        <v>635</v>
      </c>
      <c r="F25" s="17" t="s">
        <v>582</v>
      </c>
      <c r="G25" s="17" t="s">
        <v>583</v>
      </c>
      <c r="H25" s="19">
        <v>45937</v>
      </c>
      <c r="I25" s="17">
        <v>24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46.5" hidden="1" customHeight="1" x14ac:dyDescent="0.2">
      <c r="A26" s="66" t="s">
        <v>323</v>
      </c>
      <c r="B26" s="19">
        <v>45942</v>
      </c>
      <c r="C26" s="17" t="s">
        <v>670</v>
      </c>
      <c r="D26" s="17">
        <v>1</v>
      </c>
      <c r="E26" s="17" t="s">
        <v>635</v>
      </c>
      <c r="F26" s="17" t="s">
        <v>582</v>
      </c>
      <c r="G26" s="17" t="s">
        <v>671</v>
      </c>
      <c r="H26" s="19">
        <v>45943</v>
      </c>
      <c r="I26" s="17">
        <v>25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hidden="1" customHeight="1" x14ac:dyDescent="0.2">
      <c r="A27" s="67"/>
      <c r="B27" s="19">
        <v>45942</v>
      </c>
      <c r="C27" s="17" t="s">
        <v>672</v>
      </c>
      <c r="D27" s="17">
        <v>1</v>
      </c>
      <c r="E27" s="17" t="s">
        <v>653</v>
      </c>
      <c r="F27" s="17" t="s">
        <v>673</v>
      </c>
      <c r="G27" s="17" t="s">
        <v>666</v>
      </c>
      <c r="H27" s="19">
        <v>45943</v>
      </c>
      <c r="I27" s="17">
        <v>26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hidden="1" customHeight="1" x14ac:dyDescent="0.2">
      <c r="A28" s="67"/>
      <c r="B28" s="19">
        <v>45941</v>
      </c>
      <c r="C28" s="17" t="s">
        <v>674</v>
      </c>
      <c r="D28" s="17">
        <v>3</v>
      </c>
      <c r="E28" s="17" t="s">
        <v>663</v>
      </c>
      <c r="F28" s="17" t="s">
        <v>582</v>
      </c>
      <c r="G28" s="17" t="s">
        <v>583</v>
      </c>
      <c r="H28" s="19">
        <v>45944</v>
      </c>
      <c r="I28" s="17">
        <v>27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hidden="1" customHeight="1" x14ac:dyDescent="0.2">
      <c r="A29" s="67"/>
      <c r="B29" s="19">
        <v>45939</v>
      </c>
      <c r="C29" s="17" t="s">
        <v>675</v>
      </c>
      <c r="D29" s="17">
        <v>1</v>
      </c>
      <c r="E29" s="17" t="s">
        <v>676</v>
      </c>
      <c r="F29" s="17" t="s">
        <v>673</v>
      </c>
      <c r="G29" s="17" t="s">
        <v>666</v>
      </c>
      <c r="H29" s="19">
        <v>45941</v>
      </c>
      <c r="I29" s="17">
        <v>28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2">
      <c r="A30" s="67"/>
      <c r="B30" s="19">
        <v>45938</v>
      </c>
      <c r="C30" s="17" t="s">
        <v>677</v>
      </c>
      <c r="D30" s="17">
        <v>1</v>
      </c>
      <c r="E30" s="17" t="s">
        <v>678</v>
      </c>
      <c r="F30" s="17" t="s">
        <v>586</v>
      </c>
      <c r="G30" s="17" t="s">
        <v>666</v>
      </c>
      <c r="H30" s="19">
        <v>45939</v>
      </c>
      <c r="I30" s="17">
        <v>29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2">
      <c r="A31" s="68"/>
      <c r="B31" s="19">
        <v>45936</v>
      </c>
      <c r="C31" s="17" t="s">
        <v>679</v>
      </c>
      <c r="D31" s="17">
        <v>1</v>
      </c>
      <c r="E31" s="17" t="s">
        <v>635</v>
      </c>
      <c r="F31" s="17" t="s">
        <v>582</v>
      </c>
      <c r="G31" s="17" t="s">
        <v>680</v>
      </c>
      <c r="H31" s="19">
        <v>45939</v>
      </c>
      <c r="I31" s="17">
        <v>30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61.5" hidden="1" customHeight="1" x14ac:dyDescent="0.2">
      <c r="A32" s="62" t="s">
        <v>212</v>
      </c>
      <c r="B32" s="19">
        <v>45942</v>
      </c>
      <c r="C32" s="17" t="s">
        <v>681</v>
      </c>
      <c r="D32" s="17">
        <v>1</v>
      </c>
      <c r="E32" s="17" t="s">
        <v>635</v>
      </c>
      <c r="F32" s="17" t="s">
        <v>586</v>
      </c>
      <c r="G32" s="17" t="s">
        <v>640</v>
      </c>
      <c r="H32" s="19">
        <v>45942</v>
      </c>
      <c r="I32" s="17">
        <v>31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hidden="1" customHeight="1" x14ac:dyDescent="0.2">
      <c r="A33" s="63"/>
      <c r="B33" s="19">
        <v>45942</v>
      </c>
      <c r="C33" s="17" t="s">
        <v>682</v>
      </c>
      <c r="D33" s="17">
        <v>1</v>
      </c>
      <c r="E33" s="17" t="s">
        <v>635</v>
      </c>
      <c r="F33" s="17" t="s">
        <v>582</v>
      </c>
      <c r="G33" s="17" t="s">
        <v>671</v>
      </c>
      <c r="H33" s="19">
        <v>45943</v>
      </c>
      <c r="I33" s="17">
        <v>32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hidden="1" customHeight="1" x14ac:dyDescent="0.2">
      <c r="A34" s="63"/>
      <c r="B34" s="19">
        <v>45941</v>
      </c>
      <c r="C34" s="17" t="s">
        <v>683</v>
      </c>
      <c r="D34" s="17">
        <v>1</v>
      </c>
      <c r="E34" s="17" t="s">
        <v>653</v>
      </c>
      <c r="F34" s="17" t="s">
        <v>586</v>
      </c>
      <c r="G34" s="17" t="s">
        <v>666</v>
      </c>
      <c r="H34" s="19">
        <v>45942</v>
      </c>
      <c r="I34" s="17">
        <v>33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hidden="1" customHeight="1" x14ac:dyDescent="0.2">
      <c r="A35" s="63"/>
      <c r="B35" s="19">
        <v>45940</v>
      </c>
      <c r="C35" s="17" t="s">
        <v>684</v>
      </c>
      <c r="D35" s="17">
        <v>1</v>
      </c>
      <c r="E35" s="17" t="s">
        <v>685</v>
      </c>
      <c r="F35" s="17" t="s">
        <v>586</v>
      </c>
      <c r="G35" s="17" t="s">
        <v>666</v>
      </c>
      <c r="H35" s="19">
        <v>45941</v>
      </c>
      <c r="I35" s="17">
        <v>34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hidden="1" customHeight="1" x14ac:dyDescent="0.2">
      <c r="A36" s="63"/>
      <c r="B36" s="19">
        <v>45940</v>
      </c>
      <c r="C36" s="17" t="s">
        <v>686</v>
      </c>
      <c r="D36" s="17">
        <v>1</v>
      </c>
      <c r="E36" s="17" t="s">
        <v>687</v>
      </c>
      <c r="F36" s="17" t="s">
        <v>586</v>
      </c>
      <c r="G36" s="17" t="s">
        <v>666</v>
      </c>
      <c r="H36" s="19">
        <v>46002</v>
      </c>
      <c r="I36" s="17">
        <v>35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2">
      <c r="A37" s="63"/>
      <c r="B37" s="19">
        <v>45938</v>
      </c>
      <c r="C37" s="17" t="s">
        <v>688</v>
      </c>
      <c r="D37" s="17">
        <v>1</v>
      </c>
      <c r="E37" s="17" t="s">
        <v>635</v>
      </c>
      <c r="F37" s="17" t="s">
        <v>582</v>
      </c>
      <c r="G37" s="17" t="s">
        <v>583</v>
      </c>
      <c r="H37" s="19">
        <v>45940</v>
      </c>
      <c r="I37" s="17">
        <v>36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2">
      <c r="A38" s="63"/>
      <c r="B38" s="19">
        <v>45937</v>
      </c>
      <c r="C38" s="17" t="s">
        <v>689</v>
      </c>
      <c r="D38" s="17">
        <v>1</v>
      </c>
      <c r="E38" s="17" t="s">
        <v>663</v>
      </c>
      <c r="F38" s="17" t="s">
        <v>582</v>
      </c>
      <c r="G38" s="17" t="s">
        <v>583</v>
      </c>
      <c r="H38" s="19">
        <v>45939</v>
      </c>
      <c r="I38" s="17">
        <v>37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2">
      <c r="A39" s="63"/>
      <c r="B39" s="19">
        <v>45936</v>
      </c>
      <c r="C39" s="17" t="s">
        <v>690</v>
      </c>
      <c r="D39" s="17">
        <v>1</v>
      </c>
      <c r="E39" s="17" t="s">
        <v>691</v>
      </c>
      <c r="F39" s="17" t="s">
        <v>586</v>
      </c>
      <c r="G39" s="17" t="s">
        <v>666</v>
      </c>
      <c r="H39" s="19">
        <v>45937</v>
      </c>
      <c r="I39" s="17">
        <v>38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2">
      <c r="A40" s="64"/>
      <c r="B40" s="19">
        <v>45936</v>
      </c>
      <c r="C40" s="17" t="s">
        <v>692</v>
      </c>
      <c r="D40" s="17">
        <v>1</v>
      </c>
      <c r="E40" s="17" t="s">
        <v>653</v>
      </c>
      <c r="F40" s="17" t="s">
        <v>673</v>
      </c>
      <c r="G40" s="17" t="s">
        <v>666</v>
      </c>
      <c r="H40" s="19">
        <v>45937</v>
      </c>
      <c r="I40" s="17">
        <v>39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2">
      <c r="A41" s="5"/>
      <c r="B41" s="5"/>
      <c r="C41" s="5"/>
      <c r="D41" s="1">
        <f>SUM(D2:D40)</f>
        <v>44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I41" xr:uid="{00000000-0009-0000-0000-000005000000}">
    <filterColumn colId="1">
      <filters blank="1">
        <filter val="06/10/2025"/>
        <filter val="07/10/2025"/>
        <filter val="08/10/2025"/>
      </filters>
    </filterColumn>
  </autoFilter>
  <mergeCells count="4">
    <mergeCell ref="A2:A14"/>
    <mergeCell ref="A15:A25"/>
    <mergeCell ref="A26:A31"/>
    <mergeCell ref="A32:A40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9"/>
  <sheetViews>
    <sheetView workbookViewId="0"/>
  </sheetViews>
  <sheetFormatPr baseColWidth="10" defaultColWidth="12.625" defaultRowHeight="15" customHeight="1" x14ac:dyDescent="0.2"/>
  <cols>
    <col min="1" max="1" width="19.5" customWidth="1"/>
    <col min="2" max="2" width="18.5" customWidth="1"/>
  </cols>
  <sheetData>
    <row r="1" spans="1:2" ht="225" customHeight="1" x14ac:dyDescent="0.2"/>
    <row r="3" spans="1:2" ht="22.5" customHeight="1" x14ac:dyDescent="0.2">
      <c r="A3" s="35" t="s">
        <v>693</v>
      </c>
      <c r="B3" s="35" t="s">
        <v>694</v>
      </c>
    </row>
    <row r="4" spans="1:2" ht="22.5" customHeight="1" x14ac:dyDescent="0.2">
      <c r="A4" s="36">
        <v>46020</v>
      </c>
      <c r="B4" s="37">
        <v>8</v>
      </c>
    </row>
    <row r="5" spans="1:2" ht="22.5" customHeight="1" x14ac:dyDescent="0.2">
      <c r="A5" s="36">
        <v>46021</v>
      </c>
      <c r="B5" s="37">
        <v>6</v>
      </c>
    </row>
    <row r="6" spans="1:2" ht="22.5" customHeight="1" x14ac:dyDescent="0.2">
      <c r="A6" s="36">
        <v>46022</v>
      </c>
      <c r="B6" s="37">
        <v>7</v>
      </c>
    </row>
    <row r="7" spans="1:2" ht="22.5" customHeight="1" x14ac:dyDescent="0.2">
      <c r="A7" s="36">
        <v>46023</v>
      </c>
      <c r="B7" s="37">
        <v>9</v>
      </c>
    </row>
    <row r="8" spans="1:2" ht="22.5" customHeight="1" x14ac:dyDescent="0.2">
      <c r="A8" s="36">
        <v>46024</v>
      </c>
      <c r="B8" s="37">
        <v>2</v>
      </c>
    </row>
    <row r="9" spans="1:2" ht="22.5" customHeight="1" x14ac:dyDescent="0.2">
      <c r="A9" s="36">
        <v>46025</v>
      </c>
      <c r="B9" s="37">
        <v>20</v>
      </c>
    </row>
  </sheetData>
  <dataValidations count="2">
    <dataValidation type="custom" allowBlank="1" showDropDown="1" sqref="A4:A9" xr:uid="{00000000-0002-0000-0600-000000000000}">
      <formula1>OR(NOT(ISERROR(DATEVALUE(A4))), AND(ISNUMBER(A4), LEFT(CELL("format", A4))="D"))</formula1>
    </dataValidation>
    <dataValidation type="custom" allowBlank="1" showDropDown="1" sqref="B4:B9" xr:uid="{00000000-0002-0000-0600-000001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 Turno_Fiscal_09_-_15_Febrero_2</vt:lpstr>
      <vt:lpstr>Turno_Fiscal_29_-_04_Enero_26</vt:lpstr>
      <vt:lpstr>Turno_Fiscal_08_-_14_Diciembre_</vt:lpstr>
      <vt:lpstr>Turno_17_al_24_Noviembre_2025</vt:lpstr>
      <vt:lpstr>Turno_Fiscal_27_Oct_-_03_Nov_25</vt:lpstr>
      <vt:lpstr>Turno_Fiscal_06_-_13_Octubre_25</vt:lpstr>
      <vt:lpstr>Gráfico1 Tendencia Diaria de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</dc:creator>
  <cp:lastModifiedBy>FN</cp:lastModifiedBy>
  <dcterms:created xsi:type="dcterms:W3CDTF">2026-02-26T18:05:50Z</dcterms:created>
  <dcterms:modified xsi:type="dcterms:W3CDTF">2026-02-26T18:05:50Z</dcterms:modified>
</cp:coreProperties>
</file>